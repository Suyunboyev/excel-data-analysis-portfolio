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30240" yWindow="495" windowWidth="51195" windowHeight="28305" activeTab="1"/>
  </bookViews>
  <sheets>
    <sheet name="Cover Page" sheetId="5" r:id="rId1"/>
    <sheet name="Chart 1" sheetId="4" r:id="rId2"/>
    <sheet name="Chart 2" sheetId="2" r:id="rId3"/>
    <sheet name="Chart 3" sheetId="1" r:id="rId4"/>
  </sheets>
  <definedNames>
    <definedName name="age">#REF!</definedName>
    <definedName name="count">#REF!</definedName>
    <definedName name="worth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F3" i="4"/>
  <c r="E3" i="4"/>
  <c r="C65" i="4" l="1"/>
  <c r="C64" i="4" s="1"/>
  <c r="C63" i="4" s="1"/>
  <c r="C62" i="4" s="1"/>
  <c r="C61" i="4" s="1"/>
  <c r="C60" i="4" s="1"/>
  <c r="C59" i="4" s="1"/>
  <c r="C58" i="4" s="1"/>
  <c r="C57" i="4" s="1"/>
  <c r="C56" i="4" s="1"/>
  <c r="C55" i="4" s="1"/>
  <c r="C54" i="4" s="1"/>
  <c r="C53" i="4" s="1"/>
  <c r="C52" i="4" s="1"/>
  <c r="C51" i="4" s="1"/>
  <c r="C50" i="4" s="1"/>
  <c r="C49" i="4" s="1"/>
  <c r="C48" i="4" s="1"/>
  <c r="C47" i="4" s="1"/>
  <c r="C46" i="4" s="1"/>
  <c r="D55" i="4"/>
  <c r="D54" i="4" s="1"/>
  <c r="D53" i="4" s="1"/>
  <c r="D52" i="4" s="1"/>
  <c r="D51" i="4" s="1"/>
  <c r="D50" i="4" s="1"/>
  <c r="D49" i="4" s="1"/>
  <c r="D48" i="4" s="1"/>
  <c r="D47" i="4" s="1"/>
  <c r="D46" i="4" s="1"/>
</calcChain>
</file>

<file path=xl/sharedStrings.xml><?xml version="1.0" encoding="utf-8"?>
<sst xmlns="http://schemas.openxmlformats.org/spreadsheetml/2006/main" count="28" uniqueCount="28">
  <si>
    <t>FINANCIAL SECURITY</t>
  </si>
  <si>
    <t>MARRIAGE</t>
  </si>
  <si>
    <t>CHILDREN</t>
  </si>
  <si>
    <t>ANNUAL VACATION</t>
  </si>
  <si>
    <t>HOMEOWNERSHIP</t>
  </si>
  <si>
    <t>COMFORTABLE RETIREMENT</t>
  </si>
  <si>
    <t>How Important</t>
  </si>
  <si>
    <t>How Easy</t>
  </si>
  <si>
    <t>Men</t>
  </si>
  <si>
    <t>Women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</si>
  <si>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</si>
  <si>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</si>
  <si>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</si>
  <si>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</si>
  <si>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</si>
  <si>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</si>
  <si>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WSJ Chart Data</t>
  </si>
  <si>
    <t>Go to Chart 1 Data -&gt; here</t>
  </si>
  <si>
    <t>Base</t>
  </si>
  <si>
    <t>Diff</t>
  </si>
  <si>
    <t>Colorectal</t>
  </si>
  <si>
    <t>Uterine</t>
  </si>
  <si>
    <t>Kidney</t>
  </si>
  <si>
    <t>Stomach</t>
  </si>
  <si>
    <t>Pancreatic</t>
  </si>
  <si>
    <t>'10</t>
  </si>
  <si>
    <t>'15</t>
  </si>
  <si>
    <t>'19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</si>
</sst>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"/>
  </numFmts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0"/>
      <name val="Aptos Narrow"/>
      <scheme val="minor"/>
    </font>
    <font>
      <sz val="12"/>
      <color rgb="FFF8F7FA"/>
      <name val="Aptos Narrow"/>
      <family val="2"/>
      <scheme val="minor"/>
    </font>
    <font>
      <sz val="12"/>
      <color rgb="FFFFD5CC"/>
      <name val="Aptos Narrow"/>
      <family val="2"/>
      <scheme val="minor"/>
    </font>
    <font>
      <sz val="12"/>
      <color rgb="FFFFB8AA"/>
      <name val="Aptos Narrow"/>
      <family val="2"/>
      <scheme val="minor"/>
    </font>
    <font>
      <sz val="12"/>
      <color rgb="FFFF7D6F"/>
      <name val="Aptos Narrow"/>
      <family val="2"/>
      <scheme val="minor"/>
    </font>
    <font>
      <sz val="12"/>
      <color rgb="FFD91324"/>
      <name val="Aptos Narrow"/>
      <family val="2"/>
      <scheme val="minor"/>
    </font>
    <font>
      <sz val="12"/>
      <color rgb="FFFF153A"/>
      <name val="Aptos Narrow"/>
      <family val="2"/>
      <scheme val="minor"/>
    </font>
    <font>
      <sz val="12"/>
      <color rgb="FF870105"/>
      <name val="Aptos Narrow"/>
      <family val="2"/>
      <scheme val="minor"/>
    </font>
    <font>
      <b/>
      <sz val="12"/>
      <color theme="1"/>
      <name val="Aptos Narrow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7FA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quotePrefix="1"/>
    <xf numFmtId="9" fontId="0" fillId="0" borderId="0" xfId="1" applyFont="1"/>
    <xf numFmtId="10" fontId="0" fillId="0" borderId="0" xfId="0" applyNumberFormat="1"/>
    <xf numFmtId="164" fontId="0" fillId="0" borderId="0" xfId="0" applyNumberFormat="1"/>
    <xf numFmtId="0" fontId="1" fillId="0" borderId="1" xfId="3" applyBorder="1"/>
    <xf numFmtId="0" fontId="3" fillId="0" borderId="2" xfId="3" applyFont="1" applyBorder="1" applyAlignment="1">
      <alignment horizontal="center" vertical="center"/>
    </xf>
    <xf numFmtId="0" fontId="1" fillId="0" borderId="3" xfId="3" applyBorder="1"/>
    <xf numFmtId="0" fontId="1" fillId="2" borderId="0" xfId="3" applyFill="1"/>
    <xf numFmtId="0" fontId="1" fillId="0" borderId="4" xfId="3" applyBorder="1"/>
    <xf numFmtId="0" fontId="3" fillId="0" borderId="0" xfId="3" applyFont="1" applyAlignment="1">
      <alignment horizontal="center" vertical="center"/>
    </xf>
    <xf numFmtId="0" fontId="1" fillId="0" borderId="5" xfId="3" applyBorder="1"/>
    <xf numFmtId="0" fontId="1" fillId="0" borderId="0" xfId="3"/>
    <xf numFmtId="0" fontId="4" fillId="0" borderId="0" xfId="3" applyFont="1" applyAlignment="1">
      <alignment horizontal="center"/>
    </xf>
    <xf numFmtId="0" fontId="1" fillId="0" borderId="4" xfId="3" applyBorder="1" applyAlignment="1">
      <alignment vertical="center"/>
    </xf>
    <xf numFmtId="0" fontId="6" fillId="3" borderId="6" xfId="4" applyFont="1" applyFill="1" applyBorder="1" applyAlignment="1">
      <alignment horizontal="center" vertical="center"/>
    </xf>
    <xf numFmtId="0" fontId="1" fillId="0" borderId="5" xfId="3" applyBorder="1" applyAlignment="1">
      <alignment vertical="center"/>
    </xf>
    <xf numFmtId="0" fontId="1" fillId="2" borderId="0" xfId="3" applyFill="1" applyAlignment="1">
      <alignment vertical="center"/>
    </xf>
    <xf numFmtId="0" fontId="7" fillId="0" borderId="0" xfId="4" applyFont="1" applyFill="1" applyBorder="1"/>
    <xf numFmtId="0" fontId="8" fillId="0" borderId="7" xfId="3" applyFont="1" applyBorder="1"/>
    <xf numFmtId="0" fontId="1" fillId="0" borderId="0" xfId="3" applyAlignment="1">
      <alignment vertical="top" wrapText="1"/>
    </xf>
    <xf numFmtId="0" fontId="1" fillId="0" borderId="8" xfId="3" applyBorder="1"/>
    <xf numFmtId="0" fontId="1" fillId="0" borderId="7" xfId="3" applyBorder="1"/>
    <xf numFmtId="0" fontId="1" fillId="0" borderId="9" xfId="3" applyBorder="1"/>
    <xf numFmtId="0" fontId="9" fillId="0" borderId="0" xfId="2" applyFont="1"/>
    <xf numFmtId="0" fontId="0" fillId="0" borderId="0" xfId="0" applyAlignment="1">
      <alignment horizontal="left"/>
    </xf>
    <xf numFmtId="0" fontId="10" fillId="5" borderId="10" xfId="0" applyFont="1" applyFill="1" applyBorder="1"/>
    <xf numFmtId="0" fontId="10" fillId="4" borderId="10" xfId="0" applyFont="1" applyFill="1" applyBorder="1"/>
    <xf numFmtId="0" fontId="11" fillId="4" borderId="10" xfId="0" applyFont="1" applyFill="1" applyBorder="1"/>
    <xf numFmtId="0" fontId="12" fillId="4" borderId="10" xfId="0" applyFont="1" applyFill="1" applyBorder="1"/>
    <xf numFmtId="0" fontId="13" fillId="4" borderId="10" xfId="0" applyFont="1" applyFill="1" applyBorder="1"/>
    <xf numFmtId="0" fontId="14" fillId="4" borderId="10" xfId="0" applyFont="1" applyFill="1" applyBorder="1"/>
    <xf numFmtId="0" fontId="15" fillId="4" borderId="10" xfId="0" applyFont="1" applyFill="1" applyBorder="1"/>
    <xf numFmtId="0" fontId="16" fillId="4" borderId="10" xfId="0" applyFont="1" applyFill="1" applyBorder="1"/>
    <xf numFmtId="0" fontId="17" fillId="0" borderId="0" xfId="0" applyFont="1"/>
  </cellXfs>
  <cellStyles count="5">
    <cellStyle name="Hyperlink 2" xfId="4"/>
    <cellStyle name="Normal 2 2" xfId="3"/>
    <cellStyle name="Гиперссылка" xfId="2" builtinId="8"/>
    <cellStyle name="Обычный" xfId="0" builtinId="0"/>
    <cellStyle name="Процентный" xfId="1" builtinId="5"/>
  </cellStyles>
  <dxfs count="28">
    <dxf>
      <fill>
        <patternFill>
          <bgColor rgb="FF870105"/>
        </patternFill>
      </fill>
    </dxf>
    <dxf>
      <fill>
        <patternFill>
          <bgColor rgb="FFD91324"/>
        </patternFill>
      </fill>
    </dxf>
    <dxf>
      <fill>
        <patternFill>
          <bgColor rgb="FFFF153A"/>
        </patternFill>
      </fill>
    </dxf>
    <dxf>
      <fill>
        <patternFill>
          <bgColor rgb="FFFF7D6F"/>
        </patternFill>
      </fill>
    </dxf>
    <dxf>
      <fill>
        <patternFill>
          <bgColor rgb="FFFFB8AA"/>
        </patternFill>
      </fill>
    </dxf>
    <dxf>
      <fill>
        <patternFill>
          <bgColor rgb="FFFFD5CC"/>
        </patternFill>
      </fill>
    </dxf>
    <dxf>
      <fill>
        <patternFill>
          <bgColor rgb="FFF8F7FA"/>
        </patternFill>
      </fill>
    </dxf>
    <dxf>
      <fill>
        <patternFill>
          <bgColor rgb="FFFFD5CC"/>
        </patternFill>
      </fill>
    </dxf>
    <dxf>
      <fill>
        <patternFill>
          <bgColor rgb="FFFFB8AA"/>
        </patternFill>
      </fill>
    </dxf>
    <dxf>
      <fill>
        <patternFill>
          <bgColor rgb="FFFF7D6F"/>
        </patternFill>
      </fill>
    </dxf>
    <dxf>
      <fill>
        <patternFill>
          <bgColor rgb="FFFF153A"/>
        </patternFill>
      </fill>
    </dxf>
    <dxf>
      <fill>
        <patternFill>
          <bgColor rgb="FFD91324"/>
        </patternFill>
      </fill>
    </dxf>
    <dxf>
      <fill>
        <patternFill>
          <bgColor rgb="FF870105"/>
        </patternFill>
      </fill>
    </dxf>
    <dxf>
      <fill>
        <patternFill>
          <bgColor rgb="FFFFB8AA"/>
        </patternFill>
      </fill>
    </dxf>
    <dxf>
      <fill>
        <patternFill>
          <bgColor rgb="FFFF7D6F"/>
        </patternFill>
      </fill>
    </dxf>
    <dxf>
      <fill>
        <patternFill>
          <bgColor rgb="FFFF153A"/>
        </patternFill>
      </fill>
    </dxf>
    <dxf>
      <fill>
        <patternFill>
          <bgColor rgb="FFD91324"/>
        </patternFill>
      </fill>
    </dxf>
    <dxf>
      <fill>
        <patternFill>
          <bgColor rgb="FF870105"/>
        </patternFill>
      </fill>
    </dxf>
    <dxf>
      <fill>
        <patternFill>
          <bgColor rgb="FFFF7D6F"/>
        </patternFill>
      </fill>
    </dxf>
    <dxf>
      <fill>
        <patternFill>
          <bgColor rgb="FFFF153A"/>
        </patternFill>
      </fill>
    </dxf>
    <dxf>
      <fill>
        <patternFill>
          <bgColor rgb="FFD91324"/>
        </patternFill>
      </fill>
    </dxf>
    <dxf>
      <fill>
        <patternFill>
          <bgColor rgb="FF870105"/>
        </patternFill>
      </fill>
    </dxf>
    <dxf>
      <fill>
        <patternFill>
          <bgColor rgb="FFFF153A"/>
        </patternFill>
      </fill>
    </dxf>
    <dxf>
      <fill>
        <patternFill>
          <bgColor rgb="FFD91324"/>
        </patternFill>
      </fill>
    </dxf>
    <dxf>
      <fill>
        <patternFill>
          <bgColor rgb="FF870105"/>
        </patternFill>
      </fill>
    </dxf>
    <dxf>
      <fill>
        <patternFill>
          <bgColor rgb="FFD91324"/>
        </patternFill>
      </fill>
    </dxf>
    <dxf>
      <fill>
        <patternFill>
          <bgColor rgb="FF870105"/>
        </patternFill>
      </fill>
    </dxf>
    <dxf>
      <fill>
        <patternFill>
          <bgColor rgb="FF870105"/>
        </patternFill>
      </fill>
    </dxf>
  </dxfs>
  <tableStyles count="0" defaultTableStyle="TableStyleMedium2" defaultPivotStyle="PivotStyleLight16"/>
  <colors>
    <mruColors>
      <color rgb="FF870105"/>
      <color rgb="FFD91324"/>
      <color rgb="FFFF153A"/>
      <color rgb="FFFF7D6F"/>
      <color rgb="FFFFB8AA"/>
      <color rgb="FFFFD5CC"/>
      <color rgb="FFF8F7FA"/>
      <color rgb="FFF2CFEE"/>
      <color rgb="FF8ED973"/>
      <color rgb="FFEECD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2"/>
          <c:order val="2"/>
          <c:tx>
            <c:strRef>
              <c:f>'Chart 1'!$E$2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1'!$E$3:$E$66</c:f>
              <c:numCache>
                <c:formatCode>0.00%</c:formatCode>
                <c:ptCount val="64"/>
                <c:pt idx="0">
                  <c:v>0.12300000000000001</c:v>
                </c:pt>
                <c:pt idx="1">
                  <c:v>0.124</c:v>
                </c:pt>
                <c:pt idx="2">
                  <c:v>0.13200000000000001</c:v>
                </c:pt>
                <c:pt idx="3">
                  <c:v>0.13400000000000001</c:v>
                </c:pt>
                <c:pt idx="4">
                  <c:v>0.13100000000000001</c:v>
                </c:pt>
                <c:pt idx="5">
                  <c:v>0.12829344665622902</c:v>
                </c:pt>
                <c:pt idx="6">
                  <c:v>0.125</c:v>
                </c:pt>
                <c:pt idx="7">
                  <c:v>0.125</c:v>
                </c:pt>
                <c:pt idx="8">
                  <c:v>0.121</c:v>
                </c:pt>
                <c:pt idx="9">
                  <c:v>0.11699999999999999</c:v>
                </c:pt>
                <c:pt idx="10">
                  <c:v>0.111</c:v>
                </c:pt>
                <c:pt idx="11">
                  <c:v>0.10400000000000001</c:v>
                </c:pt>
                <c:pt idx="12">
                  <c:v>9.6999999999999989E-2</c:v>
                </c:pt>
                <c:pt idx="13">
                  <c:v>0.105</c:v>
                </c:pt>
                <c:pt idx="14">
                  <c:v>9.9000000000000005E-2</c:v>
                </c:pt>
                <c:pt idx="15">
                  <c:v>0.10300000000000001</c:v>
                </c:pt>
                <c:pt idx="16">
                  <c:v>9.3000000000000013E-2</c:v>
                </c:pt>
                <c:pt idx="17">
                  <c:v>8.8000000000000009E-2</c:v>
                </c:pt>
                <c:pt idx="18">
                  <c:v>8.1000000000000003E-2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8.3000000000000004E-2</c:v>
                </c:pt>
                <c:pt idx="22">
                  <c:v>8.1000000000000003E-2</c:v>
                </c:pt>
                <c:pt idx="23">
                  <c:v>8.3000000000000004E-2</c:v>
                </c:pt>
                <c:pt idx="24">
                  <c:v>8.5999999999999993E-2</c:v>
                </c:pt>
                <c:pt idx="25">
                  <c:v>8.5000000000000006E-2</c:v>
                </c:pt>
                <c:pt idx="26">
                  <c:v>8.5999999999999993E-2</c:v>
                </c:pt>
                <c:pt idx="27">
                  <c:v>0.09</c:v>
                </c:pt>
                <c:pt idx="28">
                  <c:v>8.5000000000000006E-2</c:v>
                </c:pt>
                <c:pt idx="29">
                  <c:v>8.8000000000000009E-2</c:v>
                </c:pt>
                <c:pt idx="30">
                  <c:v>8.8000000000000009E-2</c:v>
                </c:pt>
                <c:pt idx="31">
                  <c:v>8.8000000000000009E-2</c:v>
                </c:pt>
                <c:pt idx="32">
                  <c:v>8.6999999999999994E-2</c:v>
                </c:pt>
                <c:pt idx="33">
                  <c:v>8.1000000000000003E-2</c:v>
                </c:pt>
                <c:pt idx="34">
                  <c:v>7.9000000000000001E-2</c:v>
                </c:pt>
                <c:pt idx="35">
                  <c:v>8.3000000000000004E-2</c:v>
                </c:pt>
                <c:pt idx="36">
                  <c:v>7.6999999999999999E-2</c:v>
                </c:pt>
                <c:pt idx="37">
                  <c:v>0.08</c:v>
                </c:pt>
                <c:pt idx="38">
                  <c:v>0.08</c:v>
                </c:pt>
                <c:pt idx="39">
                  <c:v>7.5999999999999998E-2</c:v>
                </c:pt>
                <c:pt idx="40">
                  <c:v>7.5999999999999998E-2</c:v>
                </c:pt>
                <c:pt idx="41">
                  <c:v>7.2999999999999995E-2</c:v>
                </c:pt>
                <c:pt idx="42">
                  <c:v>7.0000000000000007E-2</c:v>
                </c:pt>
                <c:pt idx="43">
                  <c:v>6.7599999999999966E-2</c:v>
                </c:pt>
                <c:pt idx="44">
                  <c:v>6.6799999999999971E-2</c:v>
                </c:pt>
                <c:pt idx="45">
                  <c:v>6.5999999999999975E-2</c:v>
                </c:pt>
                <c:pt idx="46">
                  <c:v>6.519999999999998E-2</c:v>
                </c:pt>
                <c:pt idx="47">
                  <c:v>6.4399999999999985E-2</c:v>
                </c:pt>
                <c:pt idx="48">
                  <c:v>6.359999999999999E-2</c:v>
                </c:pt>
                <c:pt idx="49">
                  <c:v>6.2799999999999995E-2</c:v>
                </c:pt>
                <c:pt idx="50">
                  <c:v>6.2E-2</c:v>
                </c:pt>
                <c:pt idx="51">
                  <c:v>6.1199999999999997E-2</c:v>
                </c:pt>
                <c:pt idx="52">
                  <c:v>6.0399999999999995E-2</c:v>
                </c:pt>
                <c:pt idx="53">
                  <c:v>0.06</c:v>
                </c:pt>
                <c:pt idx="54">
                  <c:v>6.0999999999999999E-2</c:v>
                </c:pt>
                <c:pt idx="55">
                  <c:v>6.2E-2</c:v>
                </c:pt>
                <c:pt idx="56">
                  <c:v>6.3E-2</c:v>
                </c:pt>
                <c:pt idx="57">
                  <c:v>6.4000000000000001E-2</c:v>
                </c:pt>
                <c:pt idx="58">
                  <c:v>6.5000000000000002E-2</c:v>
                </c:pt>
                <c:pt idx="59">
                  <c:v>6.6000000000000003E-2</c:v>
                </c:pt>
                <c:pt idx="60">
                  <c:v>6.7000000000000004E-2</c:v>
                </c:pt>
                <c:pt idx="61">
                  <c:v>6.8000000000000005E-2</c:v>
                </c:pt>
                <c:pt idx="62">
                  <c:v>6.9000000000000006E-2</c:v>
                </c:pt>
                <c:pt idx="6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27-4B6B-9D6B-3E4603071528}"/>
            </c:ext>
          </c:extLst>
        </c:ser>
        <c:ser>
          <c:idx val="3"/>
          <c:order val="3"/>
          <c:tx>
            <c:strRef>
              <c:f>'Chart 1'!$F$2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1'!$F$3:$F$66</c:f>
              <c:numCache>
                <c:formatCode>0.00%</c:formatCode>
                <c:ptCount val="64"/>
                <c:pt idx="0">
                  <c:v>7.3999999999999969E-2</c:v>
                </c:pt>
                <c:pt idx="1">
                  <c:v>6.3E-2</c:v>
                </c:pt>
                <c:pt idx="2">
                  <c:v>7.1000000000000008E-2</c:v>
                </c:pt>
                <c:pt idx="3">
                  <c:v>8.5999999999999993E-2</c:v>
                </c:pt>
                <c:pt idx="4">
                  <c:v>7.2999999999999982E-2</c:v>
                </c:pt>
                <c:pt idx="5">
                  <c:v>7.9430003982201375E-2</c:v>
                </c:pt>
                <c:pt idx="6">
                  <c:v>7.1000000000000008E-2</c:v>
                </c:pt>
                <c:pt idx="7">
                  <c:v>7.1000000000000008E-2</c:v>
                </c:pt>
                <c:pt idx="8">
                  <c:v>6.0999999999999999E-2</c:v>
                </c:pt>
                <c:pt idx="9">
                  <c:v>0.06</c:v>
                </c:pt>
                <c:pt idx="10">
                  <c:v>5.7000000000000009E-2</c:v>
                </c:pt>
                <c:pt idx="11">
                  <c:v>6.4999999999999974E-2</c:v>
                </c:pt>
                <c:pt idx="12">
                  <c:v>7.4000000000000024E-2</c:v>
                </c:pt>
                <c:pt idx="13">
                  <c:v>5.8999999999999983E-2</c:v>
                </c:pt>
                <c:pt idx="14">
                  <c:v>5.6999999999999995E-2</c:v>
                </c:pt>
                <c:pt idx="15">
                  <c:v>4.7999999999999987E-2</c:v>
                </c:pt>
                <c:pt idx="16">
                  <c:v>4.8999999999999974E-2</c:v>
                </c:pt>
                <c:pt idx="17">
                  <c:v>5.5000000000000007E-2</c:v>
                </c:pt>
                <c:pt idx="18">
                  <c:v>5.4000000000000006E-2</c:v>
                </c:pt>
                <c:pt idx="19">
                  <c:v>5.9000000000000011E-2</c:v>
                </c:pt>
                <c:pt idx="20">
                  <c:v>6.5000000000000002E-2</c:v>
                </c:pt>
                <c:pt idx="21">
                  <c:v>5.3000000000000005E-2</c:v>
                </c:pt>
                <c:pt idx="22">
                  <c:v>0.05</c:v>
                </c:pt>
                <c:pt idx="23">
                  <c:v>4.5999999999999999E-2</c:v>
                </c:pt>
                <c:pt idx="24">
                  <c:v>5.3000000000000019E-2</c:v>
                </c:pt>
                <c:pt idx="25">
                  <c:v>6.0999999999999985E-2</c:v>
                </c:pt>
                <c:pt idx="26">
                  <c:v>5.8999999999999997E-2</c:v>
                </c:pt>
                <c:pt idx="27">
                  <c:v>7.0000000000000007E-2</c:v>
                </c:pt>
                <c:pt idx="28">
                  <c:v>6.8999999999999992E-2</c:v>
                </c:pt>
                <c:pt idx="29">
                  <c:v>6.7999999999999991E-2</c:v>
                </c:pt>
                <c:pt idx="30">
                  <c:v>6.9999999999999993E-2</c:v>
                </c:pt>
                <c:pt idx="31">
                  <c:v>6.4999999999999988E-2</c:v>
                </c:pt>
                <c:pt idx="32">
                  <c:v>6.2E-2</c:v>
                </c:pt>
                <c:pt idx="33">
                  <c:v>6.8999999999999992E-2</c:v>
                </c:pt>
                <c:pt idx="34">
                  <c:v>6.699999999999999E-2</c:v>
                </c:pt>
                <c:pt idx="35">
                  <c:v>6.699999999999999E-2</c:v>
                </c:pt>
                <c:pt idx="36">
                  <c:v>6.7999999999999991E-2</c:v>
                </c:pt>
                <c:pt idx="37">
                  <c:v>6.1999999999999986E-2</c:v>
                </c:pt>
                <c:pt idx="38">
                  <c:v>5.3000000000000005E-2</c:v>
                </c:pt>
                <c:pt idx="39">
                  <c:v>5.6000000000000008E-2</c:v>
                </c:pt>
                <c:pt idx="40">
                  <c:v>6.0999999999999985E-2</c:v>
                </c:pt>
                <c:pt idx="41">
                  <c:v>4.7E-2</c:v>
                </c:pt>
                <c:pt idx="42">
                  <c:v>3.9999999999999994E-2</c:v>
                </c:pt>
                <c:pt idx="43">
                  <c:v>3.1899999999999998E-2</c:v>
                </c:pt>
                <c:pt idx="44">
                  <c:v>3.209999999999999E-2</c:v>
                </c:pt>
                <c:pt idx="45">
                  <c:v>3.2299999999999982E-2</c:v>
                </c:pt>
                <c:pt idx="46">
                  <c:v>3.2499999999999973E-2</c:v>
                </c:pt>
                <c:pt idx="47">
                  <c:v>3.2699999999999965E-2</c:v>
                </c:pt>
                <c:pt idx="48">
                  <c:v>3.2899999999999957E-2</c:v>
                </c:pt>
                <c:pt idx="49">
                  <c:v>3.3099999999999949E-2</c:v>
                </c:pt>
                <c:pt idx="50">
                  <c:v>3.3299999999999941E-2</c:v>
                </c:pt>
                <c:pt idx="51">
                  <c:v>3.349999999999994E-2</c:v>
                </c:pt>
                <c:pt idx="52">
                  <c:v>3.3699999999999938E-2</c:v>
                </c:pt>
                <c:pt idx="53">
                  <c:v>3.2999999999999932E-2</c:v>
                </c:pt>
                <c:pt idx="54">
                  <c:v>3.3199999999999938E-2</c:v>
                </c:pt>
                <c:pt idx="55">
                  <c:v>3.3399999999999944E-2</c:v>
                </c:pt>
                <c:pt idx="56">
                  <c:v>3.3599999999999949E-2</c:v>
                </c:pt>
                <c:pt idx="57">
                  <c:v>3.3799999999999955E-2</c:v>
                </c:pt>
                <c:pt idx="58">
                  <c:v>3.3999999999999961E-2</c:v>
                </c:pt>
                <c:pt idx="59">
                  <c:v>3.4199999999999967E-2</c:v>
                </c:pt>
                <c:pt idx="60">
                  <c:v>3.4399999999999972E-2</c:v>
                </c:pt>
                <c:pt idx="61">
                  <c:v>3.4599999999999978E-2</c:v>
                </c:pt>
                <c:pt idx="62">
                  <c:v>3.4799999999999984E-2</c:v>
                </c:pt>
                <c:pt idx="63">
                  <c:v>3.4999999999999989E-2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27-4B6B-9D6B-3E4603071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355024"/>
        <c:axId val="1853355440"/>
      </c:areaChart>
      <c:lineChart>
        <c:grouping val="standard"/>
        <c:varyColors val="0"/>
        <c:ser>
          <c:idx val="0"/>
          <c:order val="0"/>
          <c:tx>
            <c:strRef>
              <c:f>'Chart 1'!$C$2</c:f>
              <c:strCache>
                <c:ptCount val="1"/>
                <c:pt idx="0">
                  <c:v>Men</c:v>
                </c:pt>
              </c:strCache>
            </c:strRef>
          </c:tx>
          <c:spPr>
            <a:ln w="12700" cap="rnd">
              <a:solidFill>
                <a:srgbClr val="FF1639"/>
              </a:solidFill>
              <a:round/>
            </a:ln>
            <a:effectLst/>
          </c:spPr>
          <c:marker>
            <c:symbol val="none"/>
          </c:marker>
          <c:dLbls>
            <c:dLbl>
              <c:idx val="63"/>
              <c:layout>
                <c:manualLayout>
                  <c:x val="-1.8670953328065825E-3"/>
                  <c:y val="-3.95767469472149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uz-Latn-UZ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7024221453288"/>
                      <c:h val="0.116091791045163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827-4B6B-9D6B-3E4603071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z-Latn-UZ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1'!$C$3:$C$66</c:f>
              <c:numCache>
                <c:formatCode>0.00%</c:formatCode>
                <c:ptCount val="64"/>
                <c:pt idx="0">
                  <c:v>0.19699999999999998</c:v>
                </c:pt>
                <c:pt idx="1">
                  <c:v>0.187</c:v>
                </c:pt>
                <c:pt idx="2">
                  <c:v>0.20300000000000001</c:v>
                </c:pt>
                <c:pt idx="3">
                  <c:v>0.22</c:v>
                </c:pt>
                <c:pt idx="4">
                  <c:v>0.20399999999999999</c:v>
                </c:pt>
                <c:pt idx="5">
                  <c:v>0.2077234506384304</c:v>
                </c:pt>
                <c:pt idx="6">
                  <c:v>0.19600000000000001</c:v>
                </c:pt>
                <c:pt idx="7">
                  <c:v>0.19600000000000001</c:v>
                </c:pt>
                <c:pt idx="8">
                  <c:v>0.182</c:v>
                </c:pt>
                <c:pt idx="9">
                  <c:v>0.17699999999999999</c:v>
                </c:pt>
                <c:pt idx="10">
                  <c:v>0.16800000000000001</c:v>
                </c:pt>
                <c:pt idx="11">
                  <c:v>0.16899999999999998</c:v>
                </c:pt>
                <c:pt idx="12">
                  <c:v>0.17100000000000001</c:v>
                </c:pt>
                <c:pt idx="13">
                  <c:v>0.16399999999999998</c:v>
                </c:pt>
                <c:pt idx="14">
                  <c:v>0.156</c:v>
                </c:pt>
                <c:pt idx="15">
                  <c:v>0.151</c:v>
                </c:pt>
                <c:pt idx="16">
                  <c:v>0.14199999999999999</c:v>
                </c:pt>
                <c:pt idx="17">
                  <c:v>0.14300000000000002</c:v>
                </c:pt>
                <c:pt idx="18">
                  <c:v>0.13500000000000001</c:v>
                </c:pt>
                <c:pt idx="19">
                  <c:v>0.13900000000000001</c:v>
                </c:pt>
                <c:pt idx="20">
                  <c:v>0.13500000000000001</c:v>
                </c:pt>
                <c:pt idx="21">
                  <c:v>0.13600000000000001</c:v>
                </c:pt>
                <c:pt idx="22">
                  <c:v>0.13100000000000001</c:v>
                </c:pt>
                <c:pt idx="23">
                  <c:v>0.129</c:v>
                </c:pt>
                <c:pt idx="24">
                  <c:v>0.13900000000000001</c:v>
                </c:pt>
                <c:pt idx="25">
                  <c:v>0.14599999999999999</c:v>
                </c:pt>
                <c:pt idx="26">
                  <c:v>0.14499999999999999</c:v>
                </c:pt>
                <c:pt idx="27">
                  <c:v>0.16</c:v>
                </c:pt>
                <c:pt idx="28">
                  <c:v>0.154</c:v>
                </c:pt>
                <c:pt idx="29">
                  <c:v>0.156</c:v>
                </c:pt>
                <c:pt idx="30">
                  <c:v>0.158</c:v>
                </c:pt>
                <c:pt idx="31">
                  <c:v>0.153</c:v>
                </c:pt>
                <c:pt idx="32">
                  <c:v>0.14899999999999999</c:v>
                </c:pt>
                <c:pt idx="33">
                  <c:v>0.15</c:v>
                </c:pt>
                <c:pt idx="34">
                  <c:v>0.14599999999999999</c:v>
                </c:pt>
                <c:pt idx="35">
                  <c:v>0.15</c:v>
                </c:pt>
                <c:pt idx="36">
                  <c:v>0.14499999999999999</c:v>
                </c:pt>
                <c:pt idx="37">
                  <c:v>0.14199999999999999</c:v>
                </c:pt>
                <c:pt idx="38">
                  <c:v>0.13300000000000001</c:v>
                </c:pt>
                <c:pt idx="39">
                  <c:v>0.13200000000000001</c:v>
                </c:pt>
                <c:pt idx="40">
                  <c:v>0.13699999999999998</c:v>
                </c:pt>
                <c:pt idx="41">
                  <c:v>0.12</c:v>
                </c:pt>
                <c:pt idx="42">
                  <c:v>0.11</c:v>
                </c:pt>
                <c:pt idx="43">
                  <c:v>9.9499999999999963E-2</c:v>
                </c:pt>
                <c:pt idx="44">
                  <c:v>9.889999999999996E-2</c:v>
                </c:pt>
                <c:pt idx="45">
                  <c:v>9.8299999999999957E-2</c:v>
                </c:pt>
                <c:pt idx="46">
                  <c:v>9.7699999999999954E-2</c:v>
                </c:pt>
                <c:pt idx="47">
                  <c:v>9.709999999999995E-2</c:v>
                </c:pt>
                <c:pt idx="48">
                  <c:v>9.6499999999999947E-2</c:v>
                </c:pt>
                <c:pt idx="49">
                  <c:v>9.5899999999999944E-2</c:v>
                </c:pt>
                <c:pt idx="50">
                  <c:v>9.529999999999994E-2</c:v>
                </c:pt>
                <c:pt idx="51">
                  <c:v>9.4699999999999937E-2</c:v>
                </c:pt>
                <c:pt idx="52">
                  <c:v>9.4099999999999934E-2</c:v>
                </c:pt>
                <c:pt idx="53">
                  <c:v>9.299999999999993E-2</c:v>
                </c:pt>
                <c:pt idx="54">
                  <c:v>9.4199999999999937E-2</c:v>
                </c:pt>
                <c:pt idx="55">
                  <c:v>9.5399999999999943E-2</c:v>
                </c:pt>
                <c:pt idx="56">
                  <c:v>9.659999999999995E-2</c:v>
                </c:pt>
                <c:pt idx="57">
                  <c:v>9.7799999999999956E-2</c:v>
                </c:pt>
                <c:pt idx="58">
                  <c:v>9.8999999999999963E-2</c:v>
                </c:pt>
                <c:pt idx="59">
                  <c:v>0.10019999999999997</c:v>
                </c:pt>
                <c:pt idx="60">
                  <c:v>0.10139999999999998</c:v>
                </c:pt>
                <c:pt idx="61">
                  <c:v>0.10259999999999998</c:v>
                </c:pt>
                <c:pt idx="62">
                  <c:v>0.10379999999999999</c:v>
                </c:pt>
                <c:pt idx="63">
                  <c:v>0.105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7-4B6B-9D6B-3E4603071528}"/>
            </c:ext>
          </c:extLst>
        </c:ser>
        <c:ser>
          <c:idx val="1"/>
          <c:order val="1"/>
          <c:tx>
            <c:strRef>
              <c:f>'Chart 1'!$D$2</c:f>
              <c:strCache>
                <c:ptCount val="1"/>
                <c:pt idx="0">
                  <c:v>Women</c:v>
                </c:pt>
              </c:strCache>
            </c:strRef>
          </c:tx>
          <c:spPr>
            <a:ln w="12700" cap="rnd">
              <a:solidFill>
                <a:srgbClr val="EECD08"/>
              </a:solidFill>
              <a:round/>
            </a:ln>
            <a:effectLst/>
          </c:spPr>
          <c:marker>
            <c:symbol val="none"/>
          </c:marker>
          <c:dLbls>
            <c:dLbl>
              <c:idx val="63"/>
              <c:layout>
                <c:manualLayout>
                  <c:x val="-1.3840830449828004E-3"/>
                  <c:y val="4.28746793478458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uz-Latn-UZ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38754325259515"/>
                      <c:h val="0.123166264406948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827-4B6B-9D6B-3E46030715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z-Latn-UZ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1'!$D$3:$D$66</c:f>
              <c:numCache>
                <c:formatCode>0.00%</c:formatCode>
                <c:ptCount val="64"/>
                <c:pt idx="0">
                  <c:v>0.12300000000000001</c:v>
                </c:pt>
                <c:pt idx="1">
                  <c:v>0.124</c:v>
                </c:pt>
                <c:pt idx="2">
                  <c:v>0.13200000000000001</c:v>
                </c:pt>
                <c:pt idx="3">
                  <c:v>0.13400000000000001</c:v>
                </c:pt>
                <c:pt idx="4">
                  <c:v>0.13100000000000001</c:v>
                </c:pt>
                <c:pt idx="5">
                  <c:v>0.12829344665622902</c:v>
                </c:pt>
                <c:pt idx="6">
                  <c:v>0.125</c:v>
                </c:pt>
                <c:pt idx="7">
                  <c:v>0.125</c:v>
                </c:pt>
                <c:pt idx="8">
                  <c:v>0.121</c:v>
                </c:pt>
                <c:pt idx="9">
                  <c:v>0.11699999999999999</c:v>
                </c:pt>
                <c:pt idx="10">
                  <c:v>0.111</c:v>
                </c:pt>
                <c:pt idx="11">
                  <c:v>0.10400000000000001</c:v>
                </c:pt>
                <c:pt idx="12">
                  <c:v>9.6999999999999989E-2</c:v>
                </c:pt>
                <c:pt idx="13">
                  <c:v>0.105</c:v>
                </c:pt>
                <c:pt idx="14">
                  <c:v>9.9000000000000005E-2</c:v>
                </c:pt>
                <c:pt idx="15">
                  <c:v>0.10300000000000001</c:v>
                </c:pt>
                <c:pt idx="16">
                  <c:v>9.3000000000000013E-2</c:v>
                </c:pt>
                <c:pt idx="17">
                  <c:v>8.8000000000000009E-2</c:v>
                </c:pt>
                <c:pt idx="18">
                  <c:v>8.1000000000000003E-2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8.3000000000000004E-2</c:v>
                </c:pt>
                <c:pt idx="22">
                  <c:v>8.1000000000000003E-2</c:v>
                </c:pt>
                <c:pt idx="23">
                  <c:v>8.3000000000000004E-2</c:v>
                </c:pt>
                <c:pt idx="24">
                  <c:v>8.5999999999999993E-2</c:v>
                </c:pt>
                <c:pt idx="25">
                  <c:v>8.5000000000000006E-2</c:v>
                </c:pt>
                <c:pt idx="26">
                  <c:v>8.5999999999999993E-2</c:v>
                </c:pt>
                <c:pt idx="27">
                  <c:v>0.09</c:v>
                </c:pt>
                <c:pt idx="28">
                  <c:v>8.5000000000000006E-2</c:v>
                </c:pt>
                <c:pt idx="29">
                  <c:v>8.8000000000000009E-2</c:v>
                </c:pt>
                <c:pt idx="30">
                  <c:v>8.8000000000000009E-2</c:v>
                </c:pt>
                <c:pt idx="31">
                  <c:v>8.8000000000000009E-2</c:v>
                </c:pt>
                <c:pt idx="32">
                  <c:v>8.6999999999999994E-2</c:v>
                </c:pt>
                <c:pt idx="33">
                  <c:v>8.1000000000000003E-2</c:v>
                </c:pt>
                <c:pt idx="34">
                  <c:v>7.9000000000000001E-2</c:v>
                </c:pt>
                <c:pt idx="35">
                  <c:v>8.3000000000000004E-2</c:v>
                </c:pt>
                <c:pt idx="36">
                  <c:v>7.6999999999999999E-2</c:v>
                </c:pt>
                <c:pt idx="37">
                  <c:v>0.08</c:v>
                </c:pt>
                <c:pt idx="38">
                  <c:v>0.08</c:v>
                </c:pt>
                <c:pt idx="39">
                  <c:v>7.5999999999999998E-2</c:v>
                </c:pt>
                <c:pt idx="40">
                  <c:v>7.5999999999999998E-2</c:v>
                </c:pt>
                <c:pt idx="41">
                  <c:v>7.2999999999999995E-2</c:v>
                </c:pt>
                <c:pt idx="42">
                  <c:v>7.0000000000000007E-2</c:v>
                </c:pt>
                <c:pt idx="43">
                  <c:v>6.7599999999999966E-2</c:v>
                </c:pt>
                <c:pt idx="44">
                  <c:v>6.6799999999999971E-2</c:v>
                </c:pt>
                <c:pt idx="45">
                  <c:v>6.5999999999999975E-2</c:v>
                </c:pt>
                <c:pt idx="46">
                  <c:v>6.519999999999998E-2</c:v>
                </c:pt>
                <c:pt idx="47">
                  <c:v>6.4399999999999985E-2</c:v>
                </c:pt>
                <c:pt idx="48">
                  <c:v>6.359999999999999E-2</c:v>
                </c:pt>
                <c:pt idx="49">
                  <c:v>6.2799999999999995E-2</c:v>
                </c:pt>
                <c:pt idx="50">
                  <c:v>6.2E-2</c:v>
                </c:pt>
                <c:pt idx="51">
                  <c:v>6.1199999999999997E-2</c:v>
                </c:pt>
                <c:pt idx="52">
                  <c:v>6.0399999999999995E-2</c:v>
                </c:pt>
                <c:pt idx="53">
                  <c:v>0.06</c:v>
                </c:pt>
                <c:pt idx="54">
                  <c:v>6.0999999999999999E-2</c:v>
                </c:pt>
                <c:pt idx="55">
                  <c:v>6.2E-2</c:v>
                </c:pt>
                <c:pt idx="56">
                  <c:v>6.3E-2</c:v>
                </c:pt>
                <c:pt idx="57">
                  <c:v>6.4000000000000001E-2</c:v>
                </c:pt>
                <c:pt idx="58">
                  <c:v>6.5000000000000002E-2</c:v>
                </c:pt>
                <c:pt idx="59">
                  <c:v>6.6000000000000003E-2</c:v>
                </c:pt>
                <c:pt idx="60">
                  <c:v>6.7000000000000004E-2</c:v>
                </c:pt>
                <c:pt idx="61">
                  <c:v>6.8000000000000005E-2</c:v>
                </c:pt>
                <c:pt idx="62">
                  <c:v>6.9000000000000006E-2</c:v>
                </c:pt>
                <c:pt idx="6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7-4B6B-9D6B-3E4603071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355024"/>
        <c:axId val="1853355440"/>
      </c:lineChart>
      <c:dateAx>
        <c:axId val="1853355024"/>
        <c:scaling>
          <c:orientation val="minMax"/>
          <c:max val="46753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853355440"/>
        <c:crosses val="autoZero"/>
        <c:auto val="1"/>
        <c:lblOffset val="100"/>
        <c:baseTimeUnit val="years"/>
        <c:majorUnit val="20"/>
        <c:majorTimeUnit val="years"/>
      </c:dateAx>
      <c:valAx>
        <c:axId val="185335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85335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'Chart 2'!$C$2</c:f>
              <c:strCache>
                <c:ptCount val="1"/>
                <c:pt idx="0">
                  <c:v>How Important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  <a:alpha val="45098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'Chart 2'!$B$3:$B$8</c:f>
              <c:strCache>
                <c:ptCount val="6"/>
                <c:pt idx="0">
                  <c:v>FINANCIAL SECURITY</c:v>
                </c:pt>
                <c:pt idx="1">
                  <c:v>COMFORTABLE RETIREMENT</c:v>
                </c:pt>
                <c:pt idx="2">
                  <c:v>HOMEOWNERSHIP</c:v>
                </c:pt>
                <c:pt idx="3">
                  <c:v>ANNUAL VACATION</c:v>
                </c:pt>
                <c:pt idx="4">
                  <c:v>CHILDREN</c:v>
                </c:pt>
                <c:pt idx="5">
                  <c:v>MARRIAGE</c:v>
                </c:pt>
              </c:strCache>
            </c:strRef>
          </c:cat>
          <c:val>
            <c:numRef>
              <c:f>'Chart 2'!$C$3:$C$8</c:f>
              <c:numCache>
                <c:formatCode>0%</c:formatCode>
                <c:ptCount val="6"/>
                <c:pt idx="0">
                  <c:v>0.98</c:v>
                </c:pt>
                <c:pt idx="1">
                  <c:v>0.98</c:v>
                </c:pt>
                <c:pt idx="2">
                  <c:v>0.88</c:v>
                </c:pt>
                <c:pt idx="3">
                  <c:v>0.77</c:v>
                </c:pt>
                <c:pt idx="4">
                  <c:v>0.64</c:v>
                </c:pt>
                <c:pt idx="5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9-4706-BC99-B7FE3316F79F}"/>
            </c:ext>
          </c:extLst>
        </c:ser>
        <c:ser>
          <c:idx val="1"/>
          <c:order val="1"/>
          <c:tx>
            <c:strRef>
              <c:f>'Chart 2'!$D$2</c:f>
              <c:strCache>
                <c:ptCount val="1"/>
                <c:pt idx="0">
                  <c:v>How Easy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2CFEE">
                  <a:alpha val="47843"/>
                </a:srgb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'Chart 2'!$B$3:$B$8</c:f>
              <c:strCache>
                <c:ptCount val="6"/>
                <c:pt idx="0">
                  <c:v>FINANCIAL SECURITY</c:v>
                </c:pt>
                <c:pt idx="1">
                  <c:v>COMFORTABLE RETIREMENT</c:v>
                </c:pt>
                <c:pt idx="2">
                  <c:v>HOMEOWNERSHIP</c:v>
                </c:pt>
                <c:pt idx="3">
                  <c:v>ANNUAL VACATION</c:v>
                </c:pt>
                <c:pt idx="4">
                  <c:v>CHILDREN</c:v>
                </c:pt>
                <c:pt idx="5">
                  <c:v>MARRIAGE</c:v>
                </c:pt>
              </c:strCache>
            </c:strRef>
          </c:cat>
          <c:val>
            <c:numRef>
              <c:f>'Chart 2'!$D$3:$D$8</c:f>
              <c:numCache>
                <c:formatCode>0%</c:formatCode>
                <c:ptCount val="6"/>
                <c:pt idx="0">
                  <c:v>7.0000000000000007E-2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0.4</c:v>
                </c:pt>
                <c:pt idx="5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9-4706-BC99-B7FE3316F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909328"/>
        <c:axId val="1958928048"/>
      </c:radarChart>
      <c:catAx>
        <c:axId val="195890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958928048"/>
        <c:crosses val="autoZero"/>
        <c:auto val="1"/>
        <c:lblAlgn val="ctr"/>
        <c:lblOffset val="100"/>
        <c:noMultiLvlLbl val="0"/>
      </c:catAx>
      <c:valAx>
        <c:axId val="195892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z-Latn-UZ"/>
          </a:p>
        </c:txPr>
        <c:crossAx val="19589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z-Latn-U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z-Latn-U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995A4D-48F1-7E4A-AB76-E951C0E5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596901</xdr:colOff>
      <xdr:row>2</xdr:row>
      <xdr:rowOff>187818</xdr:rowOff>
    </xdr:from>
    <xdr:to>
      <xdr:col>12</xdr:col>
      <xdr:colOff>630901</xdr:colOff>
      <xdr:row>23</xdr:row>
      <xdr:rowOff>156776</xdr:rowOff>
    </xdr:to>
    <xdr:pic>
      <xdr:nvPicPr>
        <xdr:cNvPr id="4" name="Picture 3" descr="A graph of a person and person&#10;&#10;AI-generated content may be incorrect.">
          <a:extLst>
            <a:ext uri="{FF2B5EF4-FFF2-40B4-BE49-F238E27FC236}">
              <a16:creationId xmlns:a16="http://schemas.microsoft.com/office/drawing/2014/main" id="{A99E9051-C57C-4982-BBA9-63A06BEBA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1" y="568818"/>
          <a:ext cx="4542500" cy="3969458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13</xdr:col>
      <xdr:colOff>402166</xdr:colOff>
      <xdr:row>2</xdr:row>
      <xdr:rowOff>149754</xdr:rowOff>
    </xdr:from>
    <xdr:to>
      <xdr:col>19</xdr:col>
      <xdr:colOff>481541</xdr:colOff>
      <xdr:row>23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817545</xdr:colOff>
      <xdr:row>8</xdr:row>
      <xdr:rowOff>143574</xdr:rowOff>
    </xdr:from>
    <xdr:to>
      <xdr:col>4</xdr:col>
      <xdr:colOff>363556</xdr:colOff>
      <xdr:row>28</xdr:row>
      <xdr:rowOff>98200</xdr:rowOff>
    </xdr:to>
    <xdr:pic>
      <xdr:nvPicPr>
        <xdr:cNvPr id="2" name="Picture 1" descr="A diagram of a financial security&#10;&#10;AI-generated content may be incorrect.">
          <a:extLst>
            <a:ext uri="{FF2B5EF4-FFF2-40B4-BE49-F238E27FC236}">
              <a16:creationId xmlns:a16="http://schemas.microsoft.com/office/drawing/2014/main" id="{AD128907-05E1-4F4D-A6C7-2053AD860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545" y="1728534"/>
          <a:ext cx="3988471" cy="391702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4</xdr:col>
      <xdr:colOff>627063</xdr:colOff>
      <xdr:row>0</xdr:row>
      <xdr:rowOff>177800</xdr:rowOff>
    </xdr:from>
    <xdr:to>
      <xdr:col>9</xdr:col>
      <xdr:colOff>561975</xdr:colOff>
      <xdr:row>17</xdr:row>
      <xdr:rowOff>133350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455083</xdr:colOff>
      <xdr:row>2</xdr:row>
      <xdr:rowOff>95250</xdr:rowOff>
    </xdr:from>
    <xdr:to>
      <xdr:col>27</xdr:col>
      <xdr:colOff>880899</xdr:colOff>
      <xdr:row>9</xdr:row>
      <xdr:rowOff>148166</xdr:rowOff>
    </xdr:to>
    <xdr:pic>
      <xdr:nvPicPr>
        <xdr:cNvPr id="14" name="Picture 13" descr="A graph of cancer rates&#10;&#10;AI-generated content may be incorrect.">
          <a:extLst>
            <a:ext uri="{FF2B5EF4-FFF2-40B4-BE49-F238E27FC236}">
              <a16:creationId xmlns:a16="http://schemas.microsoft.com/office/drawing/2014/main" id="{80570A69-10CF-2C91-4E39-1B2B1A28C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333" y="476250"/>
          <a:ext cx="4235816" cy="356658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8"/>
  <sheetViews>
    <sheetView showGridLines="0" zoomScale="110" zoomScaleNormal="110" workbookViewId="0">
      <selection activeCell="C11" sqref="C11"/>
    </sheetView>
  </sheetViews>
  <sheetFormatPr defaultColWidth="10.77734375" defaultRowHeight="15"/>
  <cols>
    <col min="1" max="1" width="10.77734375" style="8"/>
    <col min="2" max="2" width="8.44140625" style="8" customWidth="1"/>
    <col min="3" max="3" width="95.6640625" style="8" customWidth="1"/>
    <col min="4" max="4" width="9.44140625" style="8" customWidth="1"/>
    <col min="5" max="16384" width="10.77734375" style="8"/>
  </cols>
  <sheetData>
    <row r="3" spans="2:4" ht="75.75">
      <c r="B3" s="5"/>
      <c r="C3" s="6" t="s">
        <v>16</v>
      </c>
      <c r="D3" s="7"/>
    </row>
    <row r="4" spans="2:4" ht="42" customHeight="1">
      <c r="B4" s="9"/>
      <c r="C4" s="10"/>
      <c r="D4" s="11"/>
    </row>
    <row r="5" spans="2:4" ht="32.1" customHeight="1">
      <c r="B5" s="9"/>
      <c r="C5" s="10"/>
      <c r="D5" s="11"/>
    </row>
    <row r="6" spans="2:4" ht="11.1" customHeight="1">
      <c r="B6" s="9"/>
      <c r="C6" s="12"/>
      <c r="D6" s="11"/>
    </row>
    <row r="7" spans="2:4" ht="20.25">
      <c r="B7" s="9"/>
      <c r="C7" s="13" t="s">
        <v>10</v>
      </c>
      <c r="D7" s="11"/>
    </row>
    <row r="8" spans="2:4" ht="11.1" customHeight="1">
      <c r="B8" s="9"/>
      <c r="C8" s="12"/>
      <c r="D8" s="11"/>
    </row>
    <row r="9" spans="2:4" s="17" customFormat="1" ht="26.25">
      <c r="B9" s="14"/>
      <c r="C9" s="15" t="s">
        <v>11</v>
      </c>
      <c r="D9" s="16"/>
    </row>
    <row r="10" spans="2:4">
      <c r="B10" s="9"/>
      <c r="C10" s="12"/>
      <c r="D10" s="11"/>
    </row>
    <row r="11" spans="2:4" ht="20.25">
      <c r="B11" s="9"/>
      <c r="C11" s="24" t="s">
        <v>17</v>
      </c>
      <c r="D11" s="11"/>
    </row>
    <row r="12" spans="2:4" ht="6" customHeight="1">
      <c r="B12" s="9"/>
      <c r="C12" s="12"/>
      <c r="D12" s="11"/>
    </row>
    <row r="13" spans="2:4" ht="18.75">
      <c r="B13" s="9"/>
      <c r="C13" s="18" t="s">
        <v>12</v>
      </c>
      <c r="D13" s="11"/>
    </row>
    <row r="14" spans="2:4" ht="8.1" customHeight="1">
      <c r="B14" s="9"/>
      <c r="C14" s="12"/>
      <c r="D14" s="11"/>
    </row>
    <row r="15" spans="2:4" ht="15.75">
      <c r="B15" s="9"/>
      <c r="C15" s="19" t="s">
        <v>13</v>
      </c>
      <c r="D15" s="11"/>
    </row>
    <row r="16" spans="2:4">
      <c r="B16" s="9"/>
      <c r="C16" s="12" t="s">
        <v>14</v>
      </c>
      <c r="D16" s="11"/>
    </row>
    <row r="17" spans="2:4" ht="30">
      <c r="B17" s="9"/>
      <c r="C17" s="20" t="s">
        <v>15</v>
      </c>
      <c r="D17" s="11"/>
    </row>
    <row r="18" spans="2:4">
      <c r="B18" s="21"/>
      <c r="C18" s="22"/>
      <c r="D18" s="23"/>
    </row>
  </sheetData>
  <sheetProtection algorithmName="SHA-512" hashValue="WdT9vGxdZBxMs/SVQTxzUktOLuu6oqjFf1W2G5sQYInriTWQbQuC13U9fkj4mbi8HLLlRk8PyHmdFFe3mAmL6A==" saltValue="L35AT+dNj2sFQ0fzuqH9Fw==" spinCount="100000" sheet="1" objects="1" scenarios="1"/>
  <hyperlinks>
    <hyperlink ref="C13" r:id="rId1" display="Made by Kenji Explains"/>
    <hyperlink ref="C9" r:id="rId2" display="Get our VBA &amp; Macros Course"/>
    <hyperlink ref="C11" location="'Chart 1'!A1" display="Go to Sheet 1 -&gt; here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6"/>
  <sheetViews>
    <sheetView showGridLines="0" tabSelected="1" topLeftCell="B1" zoomScale="90" zoomScaleNormal="90" workbookViewId="0">
      <selection activeCell="M28" sqref="M28"/>
    </sheetView>
  </sheetViews>
  <sheetFormatPr defaultColWidth="8.77734375" defaultRowHeight="15"/>
  <sheetData>
    <row r="2" spans="1:6">
      <c r="C2" t="s">
        <v>8</v>
      </c>
      <c r="D2" t="s">
        <v>9</v>
      </c>
      <c r="E2" t="s">
        <v>18</v>
      </c>
      <c r="F2" t="s">
        <v>19</v>
      </c>
    </row>
    <row r="3" spans="1:6">
      <c r="A3" s="4"/>
      <c r="B3" s="4">
        <v>44927</v>
      </c>
      <c r="C3" s="3">
        <v>0.19699999999999998</v>
      </c>
      <c r="D3" s="3">
        <v>0.12300000000000001</v>
      </c>
      <c r="E3" s="3">
        <f>D3</f>
        <v>0.12300000000000001</v>
      </c>
      <c r="F3" s="3">
        <f>C3-D3</f>
        <v>7.3999999999999969E-2</v>
      </c>
    </row>
    <row r="4" spans="1:6">
      <c r="A4" s="4"/>
      <c r="B4" s="4">
        <v>44562</v>
      </c>
      <c r="C4" s="3">
        <v>0.187</v>
      </c>
      <c r="D4" s="3">
        <v>0.124</v>
      </c>
      <c r="E4" s="3">
        <f t="shared" ref="E4:E66" si="0">D4</f>
        <v>0.124</v>
      </c>
      <c r="F4" s="3">
        <f t="shared" ref="F4:F66" si="1">C4-D4</f>
        <v>6.3E-2</v>
      </c>
    </row>
    <row r="5" spans="1:6">
      <c r="A5" s="4"/>
      <c r="B5" s="4">
        <v>44197</v>
      </c>
      <c r="C5" s="3">
        <v>0.20300000000000001</v>
      </c>
      <c r="D5" s="3">
        <v>0.13200000000000001</v>
      </c>
      <c r="E5" s="3">
        <f t="shared" si="0"/>
        <v>0.13200000000000001</v>
      </c>
      <c r="F5" s="3">
        <f t="shared" si="1"/>
        <v>7.1000000000000008E-2</v>
      </c>
    </row>
    <row r="6" spans="1:6">
      <c r="A6" s="4"/>
      <c r="B6" s="4">
        <v>43831</v>
      </c>
      <c r="C6" s="3">
        <v>0.22</v>
      </c>
      <c r="D6" s="3">
        <v>0.13400000000000001</v>
      </c>
      <c r="E6" s="3">
        <f t="shared" si="0"/>
        <v>0.13400000000000001</v>
      </c>
      <c r="F6" s="3">
        <f t="shared" si="1"/>
        <v>8.5999999999999993E-2</v>
      </c>
    </row>
    <row r="7" spans="1:6">
      <c r="A7" s="4"/>
      <c r="B7" s="4">
        <v>43466</v>
      </c>
      <c r="C7" s="3">
        <v>0.20399999999999999</v>
      </c>
      <c r="D7" s="3">
        <v>0.13100000000000001</v>
      </c>
      <c r="E7" s="3">
        <f t="shared" si="0"/>
        <v>0.13100000000000001</v>
      </c>
      <c r="F7" s="3">
        <f t="shared" si="1"/>
        <v>7.2999999999999982E-2</v>
      </c>
    </row>
    <row r="8" spans="1:6">
      <c r="A8" s="4"/>
      <c r="B8" s="4">
        <v>43101</v>
      </c>
      <c r="C8" s="3">
        <v>0.2077234506384304</v>
      </c>
      <c r="D8" s="3">
        <v>0.12829344665622902</v>
      </c>
      <c r="E8" s="3">
        <f t="shared" si="0"/>
        <v>0.12829344665622902</v>
      </c>
      <c r="F8" s="3">
        <f t="shared" si="1"/>
        <v>7.9430003982201375E-2</v>
      </c>
    </row>
    <row r="9" spans="1:6">
      <c r="A9" s="4"/>
      <c r="B9" s="4">
        <v>42736</v>
      </c>
      <c r="C9" s="3">
        <v>0.19600000000000001</v>
      </c>
      <c r="D9" s="3">
        <v>0.125</v>
      </c>
      <c r="E9" s="3">
        <f t="shared" si="0"/>
        <v>0.125</v>
      </c>
      <c r="F9" s="3">
        <f t="shared" si="1"/>
        <v>7.1000000000000008E-2</v>
      </c>
    </row>
    <row r="10" spans="1:6">
      <c r="A10" s="4"/>
      <c r="B10" s="4">
        <v>42370</v>
      </c>
      <c r="C10" s="3">
        <v>0.19600000000000001</v>
      </c>
      <c r="D10" s="3">
        <v>0.125</v>
      </c>
      <c r="E10" s="3">
        <f t="shared" si="0"/>
        <v>0.125</v>
      </c>
      <c r="F10" s="3">
        <f t="shared" si="1"/>
        <v>7.1000000000000008E-2</v>
      </c>
    </row>
    <row r="11" spans="1:6">
      <c r="A11" s="4"/>
      <c r="B11" s="4">
        <v>42005</v>
      </c>
      <c r="C11" s="3">
        <v>0.182</v>
      </c>
      <c r="D11" s="3">
        <v>0.121</v>
      </c>
      <c r="E11" s="3">
        <f t="shared" si="0"/>
        <v>0.121</v>
      </c>
      <c r="F11" s="3">
        <f t="shared" si="1"/>
        <v>6.0999999999999999E-2</v>
      </c>
    </row>
    <row r="12" spans="1:6">
      <c r="A12" s="4"/>
      <c r="B12" s="4">
        <v>41640</v>
      </c>
      <c r="C12" s="3">
        <v>0.17699999999999999</v>
      </c>
      <c r="D12" s="3">
        <v>0.11699999999999999</v>
      </c>
      <c r="E12" s="3">
        <f t="shared" si="0"/>
        <v>0.11699999999999999</v>
      </c>
      <c r="F12" s="3">
        <f t="shared" si="1"/>
        <v>0.06</v>
      </c>
    </row>
    <row r="13" spans="1:6">
      <c r="A13" s="4"/>
      <c r="B13" s="4">
        <v>41275</v>
      </c>
      <c r="C13" s="3">
        <v>0.16800000000000001</v>
      </c>
      <c r="D13" s="3">
        <v>0.111</v>
      </c>
      <c r="E13" s="3">
        <f t="shared" si="0"/>
        <v>0.111</v>
      </c>
      <c r="F13" s="3">
        <f t="shared" si="1"/>
        <v>5.7000000000000009E-2</v>
      </c>
    </row>
    <row r="14" spans="1:6">
      <c r="A14" s="4"/>
      <c r="B14" s="4">
        <v>40909</v>
      </c>
      <c r="C14" s="3">
        <v>0.16899999999999998</v>
      </c>
      <c r="D14" s="3">
        <v>0.10400000000000001</v>
      </c>
      <c r="E14" s="3">
        <f t="shared" si="0"/>
        <v>0.10400000000000001</v>
      </c>
      <c r="F14" s="3">
        <f t="shared" si="1"/>
        <v>6.4999999999999974E-2</v>
      </c>
    </row>
    <row r="15" spans="1:6">
      <c r="A15" s="4"/>
      <c r="B15" s="4">
        <v>40544</v>
      </c>
      <c r="C15" s="3">
        <v>0.17100000000000001</v>
      </c>
      <c r="D15" s="3">
        <v>9.6999999999999989E-2</v>
      </c>
      <c r="E15" s="3">
        <f t="shared" si="0"/>
        <v>9.6999999999999989E-2</v>
      </c>
      <c r="F15" s="3">
        <f t="shared" si="1"/>
        <v>7.4000000000000024E-2</v>
      </c>
    </row>
    <row r="16" spans="1:6">
      <c r="A16" s="4"/>
      <c r="B16" s="4">
        <v>40179</v>
      </c>
      <c r="C16" s="3">
        <v>0.16399999999999998</v>
      </c>
      <c r="D16" s="3">
        <v>0.105</v>
      </c>
      <c r="E16" s="3">
        <f t="shared" si="0"/>
        <v>0.105</v>
      </c>
      <c r="F16" s="3">
        <f t="shared" si="1"/>
        <v>5.8999999999999983E-2</v>
      </c>
    </row>
    <row r="17" spans="1:6">
      <c r="A17" s="4"/>
      <c r="B17" s="4">
        <v>39814</v>
      </c>
      <c r="C17" s="3">
        <v>0.156</v>
      </c>
      <c r="D17" s="3">
        <v>9.9000000000000005E-2</v>
      </c>
      <c r="E17" s="3">
        <f t="shared" si="0"/>
        <v>9.9000000000000005E-2</v>
      </c>
      <c r="F17" s="3">
        <f t="shared" si="1"/>
        <v>5.6999999999999995E-2</v>
      </c>
    </row>
    <row r="18" spans="1:6">
      <c r="A18" s="4"/>
      <c r="B18" s="4">
        <v>39448</v>
      </c>
      <c r="C18" s="3">
        <v>0.151</v>
      </c>
      <c r="D18" s="3">
        <v>0.10300000000000001</v>
      </c>
      <c r="E18" s="3">
        <f t="shared" si="0"/>
        <v>0.10300000000000001</v>
      </c>
      <c r="F18" s="3">
        <f t="shared" si="1"/>
        <v>4.7999999999999987E-2</v>
      </c>
    </row>
    <row r="19" spans="1:6">
      <c r="A19" s="4"/>
      <c r="B19" s="4">
        <v>39083</v>
      </c>
      <c r="C19" s="3">
        <v>0.14199999999999999</v>
      </c>
      <c r="D19" s="3">
        <v>9.3000000000000013E-2</v>
      </c>
      <c r="E19" s="3">
        <f t="shared" si="0"/>
        <v>9.3000000000000013E-2</v>
      </c>
      <c r="F19" s="3">
        <f t="shared" si="1"/>
        <v>4.8999999999999974E-2</v>
      </c>
    </row>
    <row r="20" spans="1:6">
      <c r="A20" s="4"/>
      <c r="B20" s="4">
        <v>38718</v>
      </c>
      <c r="C20" s="3">
        <v>0.14300000000000002</v>
      </c>
      <c r="D20" s="3">
        <v>8.8000000000000009E-2</v>
      </c>
      <c r="E20" s="3">
        <f t="shared" si="0"/>
        <v>8.8000000000000009E-2</v>
      </c>
      <c r="F20" s="3">
        <f t="shared" si="1"/>
        <v>5.5000000000000007E-2</v>
      </c>
    </row>
    <row r="21" spans="1:6">
      <c r="A21" s="4"/>
      <c r="B21" s="4">
        <v>38353</v>
      </c>
      <c r="C21" s="3">
        <v>0.13500000000000001</v>
      </c>
      <c r="D21" s="3">
        <v>8.1000000000000003E-2</v>
      </c>
      <c r="E21" s="3">
        <f t="shared" si="0"/>
        <v>8.1000000000000003E-2</v>
      </c>
      <c r="F21" s="3">
        <f t="shared" si="1"/>
        <v>5.4000000000000006E-2</v>
      </c>
    </row>
    <row r="22" spans="1:6">
      <c r="A22" s="4"/>
      <c r="B22" s="4">
        <v>37987</v>
      </c>
      <c r="C22" s="3">
        <v>0.13900000000000001</v>
      </c>
      <c r="D22" s="3">
        <v>0.08</v>
      </c>
      <c r="E22" s="3">
        <f t="shared" si="0"/>
        <v>0.08</v>
      </c>
      <c r="F22" s="3">
        <f t="shared" si="1"/>
        <v>5.9000000000000011E-2</v>
      </c>
    </row>
    <row r="23" spans="1:6">
      <c r="A23" s="4"/>
      <c r="B23" s="4">
        <v>37622</v>
      </c>
      <c r="C23" s="3">
        <v>0.13500000000000001</v>
      </c>
      <c r="D23" s="3">
        <v>7.0000000000000007E-2</v>
      </c>
      <c r="E23" s="3">
        <f t="shared" si="0"/>
        <v>7.0000000000000007E-2</v>
      </c>
      <c r="F23" s="3">
        <f t="shared" si="1"/>
        <v>6.5000000000000002E-2</v>
      </c>
    </row>
    <row r="24" spans="1:6">
      <c r="A24" s="4"/>
      <c r="B24" s="4">
        <v>37257</v>
      </c>
      <c r="C24" s="3">
        <v>0.13600000000000001</v>
      </c>
      <c r="D24" s="3">
        <v>8.3000000000000004E-2</v>
      </c>
      <c r="E24" s="3">
        <f t="shared" si="0"/>
        <v>8.3000000000000004E-2</v>
      </c>
      <c r="F24" s="3">
        <f t="shared" si="1"/>
        <v>5.3000000000000005E-2</v>
      </c>
    </row>
    <row r="25" spans="1:6">
      <c r="A25" s="4"/>
      <c r="B25" s="4">
        <v>36892</v>
      </c>
      <c r="C25" s="3">
        <v>0.13100000000000001</v>
      </c>
      <c r="D25" s="3">
        <v>8.1000000000000003E-2</v>
      </c>
      <c r="E25" s="3">
        <f t="shared" si="0"/>
        <v>8.1000000000000003E-2</v>
      </c>
      <c r="F25" s="3">
        <f t="shared" si="1"/>
        <v>0.05</v>
      </c>
    </row>
    <row r="26" spans="1:6">
      <c r="A26" s="4"/>
      <c r="B26" s="4">
        <v>36526</v>
      </c>
      <c r="C26" s="3">
        <v>0.129</v>
      </c>
      <c r="D26" s="3">
        <v>8.3000000000000004E-2</v>
      </c>
      <c r="E26" s="3">
        <f t="shared" si="0"/>
        <v>8.3000000000000004E-2</v>
      </c>
      <c r="F26" s="3">
        <f t="shared" si="1"/>
        <v>4.5999999999999999E-2</v>
      </c>
    </row>
    <row r="27" spans="1:6">
      <c r="A27" s="4"/>
      <c r="B27" s="4">
        <v>36161</v>
      </c>
      <c r="C27" s="3">
        <v>0.13900000000000001</v>
      </c>
      <c r="D27" s="3">
        <v>8.5999999999999993E-2</v>
      </c>
      <c r="E27" s="3">
        <f t="shared" si="0"/>
        <v>8.5999999999999993E-2</v>
      </c>
      <c r="F27" s="3">
        <f t="shared" si="1"/>
        <v>5.3000000000000019E-2</v>
      </c>
    </row>
    <row r="28" spans="1:6">
      <c r="A28" s="4"/>
      <c r="B28" s="4">
        <v>35796</v>
      </c>
      <c r="C28" s="3">
        <v>0.14599999999999999</v>
      </c>
      <c r="D28" s="3">
        <v>8.5000000000000006E-2</v>
      </c>
      <c r="E28" s="3">
        <f t="shared" si="0"/>
        <v>8.5000000000000006E-2</v>
      </c>
      <c r="F28" s="3">
        <f t="shared" si="1"/>
        <v>6.0999999999999985E-2</v>
      </c>
    </row>
    <row r="29" spans="1:6">
      <c r="A29" s="4"/>
      <c r="B29" s="4">
        <v>35431</v>
      </c>
      <c r="C29" s="3">
        <v>0.14499999999999999</v>
      </c>
      <c r="D29" s="3">
        <v>8.5999999999999993E-2</v>
      </c>
      <c r="E29" s="3">
        <f t="shared" si="0"/>
        <v>8.5999999999999993E-2</v>
      </c>
      <c r="F29" s="3">
        <f t="shared" si="1"/>
        <v>5.8999999999999997E-2</v>
      </c>
    </row>
    <row r="30" spans="1:6">
      <c r="A30" s="4"/>
      <c r="B30" s="4">
        <v>35065</v>
      </c>
      <c r="C30" s="3">
        <v>0.16</v>
      </c>
      <c r="D30" s="3">
        <v>0.09</v>
      </c>
      <c r="E30" s="3">
        <f t="shared" si="0"/>
        <v>0.09</v>
      </c>
      <c r="F30" s="3">
        <f t="shared" si="1"/>
        <v>7.0000000000000007E-2</v>
      </c>
    </row>
    <row r="31" spans="1:6">
      <c r="A31" s="4"/>
      <c r="B31" s="4">
        <v>34700</v>
      </c>
      <c r="C31" s="3">
        <v>0.154</v>
      </c>
      <c r="D31" s="3">
        <v>8.5000000000000006E-2</v>
      </c>
      <c r="E31" s="3">
        <f t="shared" si="0"/>
        <v>8.5000000000000006E-2</v>
      </c>
      <c r="F31" s="3">
        <f t="shared" si="1"/>
        <v>6.8999999999999992E-2</v>
      </c>
    </row>
    <row r="32" spans="1:6">
      <c r="A32" s="4"/>
      <c r="B32" s="4">
        <v>34335</v>
      </c>
      <c r="C32" s="3">
        <v>0.156</v>
      </c>
      <c r="D32" s="3">
        <v>8.8000000000000009E-2</v>
      </c>
      <c r="E32" s="3">
        <f t="shared" si="0"/>
        <v>8.8000000000000009E-2</v>
      </c>
      <c r="F32" s="3">
        <f t="shared" si="1"/>
        <v>6.7999999999999991E-2</v>
      </c>
    </row>
    <row r="33" spans="1:6">
      <c r="A33" s="4"/>
      <c r="B33" s="4">
        <v>33970</v>
      </c>
      <c r="C33" s="3">
        <v>0.158</v>
      </c>
      <c r="D33" s="3">
        <v>8.8000000000000009E-2</v>
      </c>
      <c r="E33" s="3">
        <f t="shared" si="0"/>
        <v>8.8000000000000009E-2</v>
      </c>
      <c r="F33" s="3">
        <f t="shared" si="1"/>
        <v>6.9999999999999993E-2</v>
      </c>
    </row>
    <row r="34" spans="1:6">
      <c r="A34" s="4"/>
      <c r="B34" s="4">
        <v>33604</v>
      </c>
      <c r="C34" s="3">
        <v>0.153</v>
      </c>
      <c r="D34" s="3">
        <v>8.8000000000000009E-2</v>
      </c>
      <c r="E34" s="3">
        <f t="shared" si="0"/>
        <v>8.8000000000000009E-2</v>
      </c>
      <c r="F34" s="3">
        <f t="shared" si="1"/>
        <v>6.4999999999999988E-2</v>
      </c>
    </row>
    <row r="35" spans="1:6">
      <c r="A35" s="4"/>
      <c r="B35" s="4">
        <v>33239</v>
      </c>
      <c r="C35" s="3">
        <v>0.14899999999999999</v>
      </c>
      <c r="D35" s="3">
        <v>8.6999999999999994E-2</v>
      </c>
      <c r="E35" s="3">
        <f t="shared" si="0"/>
        <v>8.6999999999999994E-2</v>
      </c>
      <c r="F35" s="3">
        <f t="shared" si="1"/>
        <v>6.2E-2</v>
      </c>
    </row>
    <row r="36" spans="1:6">
      <c r="A36" s="4"/>
      <c r="B36" s="4">
        <v>32874</v>
      </c>
      <c r="C36" s="3">
        <v>0.15</v>
      </c>
      <c r="D36" s="3">
        <v>8.1000000000000003E-2</v>
      </c>
      <c r="E36" s="3">
        <f t="shared" si="0"/>
        <v>8.1000000000000003E-2</v>
      </c>
      <c r="F36" s="3">
        <f t="shared" si="1"/>
        <v>6.8999999999999992E-2</v>
      </c>
    </row>
    <row r="37" spans="1:6">
      <c r="A37" s="4"/>
      <c r="B37" s="4">
        <v>32509</v>
      </c>
      <c r="C37" s="3">
        <v>0.14599999999999999</v>
      </c>
      <c r="D37" s="3">
        <v>7.9000000000000001E-2</v>
      </c>
      <c r="E37" s="3">
        <f t="shared" si="0"/>
        <v>7.9000000000000001E-2</v>
      </c>
      <c r="F37" s="3">
        <f t="shared" si="1"/>
        <v>6.699999999999999E-2</v>
      </c>
    </row>
    <row r="38" spans="1:6">
      <c r="A38" s="4"/>
      <c r="B38" s="4">
        <v>32143</v>
      </c>
      <c r="C38" s="3">
        <v>0.15</v>
      </c>
      <c r="D38" s="3">
        <v>8.3000000000000004E-2</v>
      </c>
      <c r="E38" s="3">
        <f t="shared" si="0"/>
        <v>8.3000000000000004E-2</v>
      </c>
      <c r="F38" s="3">
        <f t="shared" si="1"/>
        <v>6.699999999999999E-2</v>
      </c>
    </row>
    <row r="39" spans="1:6">
      <c r="A39" s="4"/>
      <c r="B39" s="4">
        <v>31778</v>
      </c>
      <c r="C39" s="3">
        <v>0.14499999999999999</v>
      </c>
      <c r="D39" s="3">
        <v>7.6999999999999999E-2</v>
      </c>
      <c r="E39" s="3">
        <f t="shared" si="0"/>
        <v>7.6999999999999999E-2</v>
      </c>
      <c r="F39" s="3">
        <f t="shared" si="1"/>
        <v>6.7999999999999991E-2</v>
      </c>
    </row>
    <row r="40" spans="1:6">
      <c r="A40" s="4"/>
      <c r="B40" s="4">
        <v>31413</v>
      </c>
      <c r="C40" s="3">
        <v>0.14199999999999999</v>
      </c>
      <c r="D40" s="3">
        <v>0.08</v>
      </c>
      <c r="E40" s="3">
        <f t="shared" si="0"/>
        <v>0.08</v>
      </c>
      <c r="F40" s="3">
        <f t="shared" si="1"/>
        <v>6.1999999999999986E-2</v>
      </c>
    </row>
    <row r="41" spans="1:6">
      <c r="A41" s="4"/>
      <c r="B41" s="4">
        <v>31048</v>
      </c>
      <c r="C41" s="3">
        <v>0.13300000000000001</v>
      </c>
      <c r="D41" s="3">
        <v>0.08</v>
      </c>
      <c r="E41" s="3">
        <f t="shared" si="0"/>
        <v>0.08</v>
      </c>
      <c r="F41" s="3">
        <f t="shared" si="1"/>
        <v>5.3000000000000005E-2</v>
      </c>
    </row>
    <row r="42" spans="1:6">
      <c r="A42" s="4"/>
      <c r="B42" s="4">
        <v>30682</v>
      </c>
      <c r="C42" s="3">
        <v>0.13200000000000001</v>
      </c>
      <c r="D42" s="3">
        <v>7.5999999999999998E-2</v>
      </c>
      <c r="E42" s="3">
        <f t="shared" si="0"/>
        <v>7.5999999999999998E-2</v>
      </c>
      <c r="F42" s="3">
        <f t="shared" si="1"/>
        <v>5.6000000000000008E-2</v>
      </c>
    </row>
    <row r="43" spans="1:6">
      <c r="A43" s="4"/>
      <c r="B43" s="4">
        <v>30317</v>
      </c>
      <c r="C43" s="3">
        <v>0.13699999999999998</v>
      </c>
      <c r="D43" s="3">
        <v>7.5999999999999998E-2</v>
      </c>
      <c r="E43" s="3">
        <f t="shared" si="0"/>
        <v>7.5999999999999998E-2</v>
      </c>
      <c r="F43" s="3">
        <f t="shared" si="1"/>
        <v>6.0999999999999985E-2</v>
      </c>
    </row>
    <row r="44" spans="1:6">
      <c r="A44" s="4"/>
      <c r="B44" s="4">
        <v>29952</v>
      </c>
      <c r="C44" s="3">
        <v>0.12</v>
      </c>
      <c r="D44" s="3">
        <v>7.2999999999999995E-2</v>
      </c>
      <c r="E44" s="3">
        <f t="shared" si="0"/>
        <v>7.2999999999999995E-2</v>
      </c>
      <c r="F44" s="3">
        <f t="shared" si="1"/>
        <v>4.7E-2</v>
      </c>
    </row>
    <row r="45" spans="1:6">
      <c r="A45" s="4"/>
      <c r="B45" s="4">
        <v>29587</v>
      </c>
      <c r="C45" s="3">
        <v>0.11</v>
      </c>
      <c r="D45" s="3">
        <v>7.0000000000000007E-2</v>
      </c>
      <c r="E45" s="3">
        <f t="shared" si="0"/>
        <v>7.0000000000000007E-2</v>
      </c>
      <c r="F45" s="3">
        <f t="shared" si="1"/>
        <v>3.9999999999999994E-2</v>
      </c>
    </row>
    <row r="46" spans="1:6">
      <c r="A46" s="4"/>
      <c r="B46" s="4">
        <v>29221</v>
      </c>
      <c r="C46" s="3">
        <f t="shared" ref="C46:C54" si="2">C47+0.06%</f>
        <v>9.9499999999999963E-2</v>
      </c>
      <c r="D46" s="3">
        <f t="shared" ref="D46:D54" si="3">D47+0.08%</f>
        <v>6.7599999999999966E-2</v>
      </c>
      <c r="E46" s="3">
        <f t="shared" si="0"/>
        <v>6.7599999999999966E-2</v>
      </c>
      <c r="F46" s="3">
        <f t="shared" si="1"/>
        <v>3.1899999999999998E-2</v>
      </c>
    </row>
    <row r="47" spans="1:6">
      <c r="A47" s="4"/>
      <c r="B47" s="4">
        <v>28856</v>
      </c>
      <c r="C47" s="3">
        <f t="shared" si="2"/>
        <v>9.889999999999996E-2</v>
      </c>
      <c r="D47" s="3">
        <f t="shared" si="3"/>
        <v>6.6799999999999971E-2</v>
      </c>
      <c r="E47" s="3">
        <f t="shared" si="0"/>
        <v>6.6799999999999971E-2</v>
      </c>
      <c r="F47" s="3">
        <f t="shared" si="1"/>
        <v>3.209999999999999E-2</v>
      </c>
    </row>
    <row r="48" spans="1:6">
      <c r="A48" s="4"/>
      <c r="B48" s="4">
        <v>28491</v>
      </c>
      <c r="C48" s="3">
        <f t="shared" si="2"/>
        <v>9.8299999999999957E-2</v>
      </c>
      <c r="D48" s="3">
        <f t="shared" si="3"/>
        <v>6.5999999999999975E-2</v>
      </c>
      <c r="E48" s="3">
        <f t="shared" si="0"/>
        <v>6.5999999999999975E-2</v>
      </c>
      <c r="F48" s="3">
        <f t="shared" si="1"/>
        <v>3.2299999999999982E-2</v>
      </c>
    </row>
    <row r="49" spans="1:6">
      <c r="A49" s="4"/>
      <c r="B49" s="4">
        <v>28126</v>
      </c>
      <c r="C49" s="3">
        <f t="shared" si="2"/>
        <v>9.7699999999999954E-2</v>
      </c>
      <c r="D49" s="3">
        <f t="shared" si="3"/>
        <v>6.519999999999998E-2</v>
      </c>
      <c r="E49" s="3">
        <f t="shared" si="0"/>
        <v>6.519999999999998E-2</v>
      </c>
      <c r="F49" s="3">
        <f t="shared" si="1"/>
        <v>3.2499999999999973E-2</v>
      </c>
    </row>
    <row r="50" spans="1:6">
      <c r="A50" s="4"/>
      <c r="B50" s="4">
        <v>27760</v>
      </c>
      <c r="C50" s="3">
        <f t="shared" si="2"/>
        <v>9.709999999999995E-2</v>
      </c>
      <c r="D50" s="3">
        <f t="shared" si="3"/>
        <v>6.4399999999999985E-2</v>
      </c>
      <c r="E50" s="3">
        <f t="shared" si="0"/>
        <v>6.4399999999999985E-2</v>
      </c>
      <c r="F50" s="3">
        <f t="shared" si="1"/>
        <v>3.2699999999999965E-2</v>
      </c>
    </row>
    <row r="51" spans="1:6">
      <c r="A51" s="4"/>
      <c r="B51" s="4">
        <v>27395</v>
      </c>
      <c r="C51" s="3">
        <f t="shared" si="2"/>
        <v>9.6499999999999947E-2</v>
      </c>
      <c r="D51" s="3">
        <f t="shared" si="3"/>
        <v>6.359999999999999E-2</v>
      </c>
      <c r="E51" s="3">
        <f t="shared" si="0"/>
        <v>6.359999999999999E-2</v>
      </c>
      <c r="F51" s="3">
        <f t="shared" si="1"/>
        <v>3.2899999999999957E-2</v>
      </c>
    </row>
    <row r="52" spans="1:6">
      <c r="A52" s="4"/>
      <c r="B52" s="4">
        <v>27030</v>
      </c>
      <c r="C52" s="3">
        <f t="shared" si="2"/>
        <v>9.5899999999999944E-2</v>
      </c>
      <c r="D52" s="3">
        <f t="shared" si="3"/>
        <v>6.2799999999999995E-2</v>
      </c>
      <c r="E52" s="3">
        <f t="shared" si="0"/>
        <v>6.2799999999999995E-2</v>
      </c>
      <c r="F52" s="3">
        <f t="shared" si="1"/>
        <v>3.3099999999999949E-2</v>
      </c>
    </row>
    <row r="53" spans="1:6">
      <c r="A53" s="4"/>
      <c r="B53" s="4">
        <v>26665</v>
      </c>
      <c r="C53" s="3">
        <f t="shared" si="2"/>
        <v>9.529999999999994E-2</v>
      </c>
      <c r="D53" s="3">
        <f t="shared" si="3"/>
        <v>6.2E-2</v>
      </c>
      <c r="E53" s="3">
        <f t="shared" si="0"/>
        <v>6.2E-2</v>
      </c>
      <c r="F53" s="3">
        <f t="shared" si="1"/>
        <v>3.3299999999999941E-2</v>
      </c>
    </row>
    <row r="54" spans="1:6">
      <c r="A54" s="4"/>
      <c r="B54" s="4">
        <v>26299</v>
      </c>
      <c r="C54" s="3">
        <f t="shared" si="2"/>
        <v>9.4699999999999937E-2</v>
      </c>
      <c r="D54" s="3">
        <f t="shared" si="3"/>
        <v>6.1199999999999997E-2</v>
      </c>
      <c r="E54" s="3">
        <f t="shared" si="0"/>
        <v>6.1199999999999997E-2</v>
      </c>
      <c r="F54" s="3">
        <f t="shared" si="1"/>
        <v>3.349999999999994E-2</v>
      </c>
    </row>
    <row r="55" spans="1:6">
      <c r="A55" s="4"/>
      <c r="B55" s="4">
        <v>25934</v>
      </c>
      <c r="C55" s="3">
        <f>C56+0.11%</f>
        <v>9.4099999999999934E-2</v>
      </c>
      <c r="D55" s="3">
        <f>D56+0.04%</f>
        <v>6.0399999999999995E-2</v>
      </c>
      <c r="E55" s="3">
        <f t="shared" si="0"/>
        <v>6.0399999999999995E-2</v>
      </c>
      <c r="F55" s="3">
        <f t="shared" si="1"/>
        <v>3.3699999999999938E-2</v>
      </c>
    </row>
    <row r="56" spans="1:6">
      <c r="A56" s="4"/>
      <c r="B56" s="4">
        <v>25569</v>
      </c>
      <c r="C56" s="3">
        <f t="shared" ref="C56:C64" si="4">C57-0.0012</f>
        <v>9.299999999999993E-2</v>
      </c>
      <c r="D56" s="3">
        <v>0.06</v>
      </c>
      <c r="E56" s="3">
        <f t="shared" si="0"/>
        <v>0.06</v>
      </c>
      <c r="F56" s="3">
        <f t="shared" si="1"/>
        <v>3.2999999999999932E-2</v>
      </c>
    </row>
    <row r="57" spans="1:6">
      <c r="A57" s="4"/>
      <c r="B57" s="4">
        <v>25204</v>
      </c>
      <c r="C57" s="3">
        <f t="shared" si="4"/>
        <v>9.4199999999999937E-2</v>
      </c>
      <c r="D57" s="3">
        <v>6.0999999999999999E-2</v>
      </c>
      <c r="E57" s="3">
        <f t="shared" si="0"/>
        <v>6.0999999999999999E-2</v>
      </c>
      <c r="F57" s="3">
        <f t="shared" si="1"/>
        <v>3.3199999999999938E-2</v>
      </c>
    </row>
    <row r="58" spans="1:6">
      <c r="A58" s="4"/>
      <c r="B58" s="4">
        <v>24838</v>
      </c>
      <c r="C58" s="3">
        <f t="shared" si="4"/>
        <v>9.5399999999999943E-2</v>
      </c>
      <c r="D58" s="3">
        <v>6.2E-2</v>
      </c>
      <c r="E58" s="3">
        <f t="shared" si="0"/>
        <v>6.2E-2</v>
      </c>
      <c r="F58" s="3">
        <f t="shared" si="1"/>
        <v>3.3399999999999944E-2</v>
      </c>
    </row>
    <row r="59" spans="1:6">
      <c r="A59" s="4"/>
      <c r="B59" s="4">
        <v>24473</v>
      </c>
      <c r="C59" s="3">
        <f t="shared" si="4"/>
        <v>9.659999999999995E-2</v>
      </c>
      <c r="D59" s="3">
        <v>6.3E-2</v>
      </c>
      <c r="E59" s="3">
        <f t="shared" si="0"/>
        <v>6.3E-2</v>
      </c>
      <c r="F59" s="3">
        <f t="shared" si="1"/>
        <v>3.3599999999999949E-2</v>
      </c>
    </row>
    <row r="60" spans="1:6">
      <c r="A60" s="4"/>
      <c r="B60" s="4">
        <v>24108</v>
      </c>
      <c r="C60" s="3">
        <f t="shared" si="4"/>
        <v>9.7799999999999956E-2</v>
      </c>
      <c r="D60" s="3">
        <v>6.4000000000000001E-2</v>
      </c>
      <c r="E60" s="3">
        <f t="shared" si="0"/>
        <v>6.4000000000000001E-2</v>
      </c>
      <c r="F60" s="3">
        <f t="shared" si="1"/>
        <v>3.3799999999999955E-2</v>
      </c>
    </row>
    <row r="61" spans="1:6">
      <c r="A61" s="4"/>
      <c r="B61" s="4">
        <v>23743</v>
      </c>
      <c r="C61" s="3">
        <f t="shared" si="4"/>
        <v>9.8999999999999963E-2</v>
      </c>
      <c r="D61" s="3">
        <v>6.5000000000000002E-2</v>
      </c>
      <c r="E61" s="3">
        <f t="shared" si="0"/>
        <v>6.5000000000000002E-2</v>
      </c>
      <c r="F61" s="3">
        <f t="shared" si="1"/>
        <v>3.3999999999999961E-2</v>
      </c>
    </row>
    <row r="62" spans="1:6">
      <c r="A62" s="4"/>
      <c r="B62" s="4">
        <v>23377</v>
      </c>
      <c r="C62" s="3">
        <f t="shared" si="4"/>
        <v>0.10019999999999997</v>
      </c>
      <c r="D62" s="3">
        <v>6.6000000000000003E-2</v>
      </c>
      <c r="E62" s="3">
        <f t="shared" si="0"/>
        <v>6.6000000000000003E-2</v>
      </c>
      <c r="F62" s="3">
        <f t="shared" si="1"/>
        <v>3.4199999999999967E-2</v>
      </c>
    </row>
    <row r="63" spans="1:6">
      <c r="A63" s="4"/>
      <c r="B63" s="4">
        <v>23012</v>
      </c>
      <c r="C63" s="3">
        <f t="shared" si="4"/>
        <v>0.10139999999999998</v>
      </c>
      <c r="D63" s="3">
        <v>6.7000000000000004E-2</v>
      </c>
      <c r="E63" s="3">
        <f t="shared" si="0"/>
        <v>6.7000000000000004E-2</v>
      </c>
      <c r="F63" s="3">
        <f t="shared" si="1"/>
        <v>3.4399999999999972E-2</v>
      </c>
    </row>
    <row r="64" spans="1:6">
      <c r="A64" s="4"/>
      <c r="B64" s="4">
        <v>22647</v>
      </c>
      <c r="C64" s="3">
        <f t="shared" si="4"/>
        <v>0.10259999999999998</v>
      </c>
      <c r="D64" s="3">
        <v>6.8000000000000005E-2</v>
      </c>
      <c r="E64" s="3">
        <f t="shared" si="0"/>
        <v>6.8000000000000005E-2</v>
      </c>
      <c r="F64" s="3">
        <f t="shared" si="1"/>
        <v>3.4599999999999978E-2</v>
      </c>
    </row>
    <row r="65" spans="1:6">
      <c r="A65" s="4"/>
      <c r="B65" s="4">
        <v>22282</v>
      </c>
      <c r="C65" s="3">
        <f>C66-0.0012</f>
        <v>0.10379999999999999</v>
      </c>
      <c r="D65" s="3">
        <v>6.9000000000000006E-2</v>
      </c>
      <c r="E65" s="3">
        <f t="shared" si="0"/>
        <v>6.9000000000000006E-2</v>
      </c>
      <c r="F65" s="3">
        <f t="shared" si="1"/>
        <v>3.4799999999999984E-2</v>
      </c>
    </row>
    <row r="66" spans="1:6">
      <c r="A66" s="4"/>
      <c r="B66" s="4">
        <v>21916</v>
      </c>
      <c r="C66" s="3">
        <v>0.105</v>
      </c>
      <c r="D66" s="3">
        <v>7.0000000000000007E-2</v>
      </c>
      <c r="E66" s="3">
        <f t="shared" si="0"/>
        <v>7.0000000000000007E-2</v>
      </c>
      <c r="F66" s="3">
        <f t="shared" si="1"/>
        <v>3.4999999999999989E-2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showGridLines="0" zoomScaleNormal="100" workbookViewId="0">
      <selection activeCell="B2" sqref="B2:D8"/>
    </sheetView>
  </sheetViews>
  <sheetFormatPr defaultColWidth="11.109375" defaultRowHeight="15"/>
  <cols>
    <col min="2" max="2" width="24.6640625" bestFit="1" customWidth="1"/>
  </cols>
  <sheetData>
    <row r="2" spans="2:4">
      <c r="C2" t="s">
        <v>6</v>
      </c>
      <c r="D2" t="s">
        <v>7</v>
      </c>
    </row>
    <row r="3" spans="2:4">
      <c r="B3" t="s">
        <v>0</v>
      </c>
      <c r="C3" s="2">
        <v>0.98</v>
      </c>
      <c r="D3" s="2">
        <v>7.0000000000000007E-2</v>
      </c>
    </row>
    <row r="4" spans="2:4">
      <c r="B4" t="s">
        <v>5</v>
      </c>
      <c r="C4" s="2">
        <v>0.98</v>
      </c>
      <c r="D4" s="2">
        <v>0.06</v>
      </c>
    </row>
    <row r="5" spans="2:4">
      <c r="B5" t="s">
        <v>4</v>
      </c>
      <c r="C5" s="2">
        <v>0.88</v>
      </c>
      <c r="D5" s="2">
        <v>0.09</v>
      </c>
    </row>
    <row r="6" spans="2:4">
      <c r="B6" t="s">
        <v>3</v>
      </c>
      <c r="C6" s="2">
        <v>0.77</v>
      </c>
      <c r="D6" s="2">
        <v>0.12</v>
      </c>
    </row>
    <row r="7" spans="2:4">
      <c r="B7" t="s">
        <v>2</v>
      </c>
      <c r="C7" s="2">
        <v>0.64</v>
      </c>
      <c r="D7" s="2">
        <v>0.4</v>
      </c>
    </row>
    <row r="8" spans="2:4">
      <c r="B8" t="s">
        <v>1</v>
      </c>
      <c r="C8" s="2">
        <v>0.61</v>
      </c>
      <c r="D8" s="2">
        <v>0.45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8"/>
  <sheetViews>
    <sheetView showGridLines="0" zoomScale="90" zoomScaleNormal="90" workbookViewId="0">
      <selection activeCell="M10" sqref="M10"/>
    </sheetView>
  </sheetViews>
  <sheetFormatPr defaultColWidth="11.109375" defaultRowHeight="15"/>
  <cols>
    <col min="3" max="23" width="3.109375" customWidth="1"/>
  </cols>
  <sheetData>
    <row r="2" spans="2:23" ht="15.75" thickBot="1"/>
    <row r="3" spans="2:23" ht="50.1" customHeight="1" thickTop="1" thickBot="1">
      <c r="B3" s="34" t="s">
        <v>20</v>
      </c>
      <c r="C3" s="31">
        <v>5.5</v>
      </c>
      <c r="D3" s="31">
        <v>5.5</v>
      </c>
      <c r="E3" s="31">
        <v>5.5</v>
      </c>
      <c r="F3" s="31">
        <v>5.5</v>
      </c>
      <c r="G3" s="31">
        <v>5.5</v>
      </c>
      <c r="H3" s="33">
        <v>7</v>
      </c>
      <c r="I3" s="33">
        <v>7</v>
      </c>
      <c r="J3" s="33">
        <v>7</v>
      </c>
      <c r="K3" s="33">
        <v>7</v>
      </c>
      <c r="L3" s="33">
        <v>7</v>
      </c>
      <c r="M3" s="33">
        <v>7</v>
      </c>
      <c r="N3" s="33">
        <v>7</v>
      </c>
      <c r="O3" s="33">
        <v>7</v>
      </c>
      <c r="P3" s="33">
        <v>7</v>
      </c>
      <c r="Q3" s="33">
        <v>7</v>
      </c>
      <c r="R3" s="33">
        <v>7</v>
      </c>
      <c r="S3" s="33">
        <v>7</v>
      </c>
      <c r="T3" s="33">
        <v>7</v>
      </c>
      <c r="U3" s="33">
        <v>7</v>
      </c>
      <c r="V3" s="33">
        <v>7</v>
      </c>
      <c r="W3" s="33">
        <v>7</v>
      </c>
    </row>
    <row r="4" spans="2:23" ht="50.1" customHeight="1" thickTop="1" thickBot="1">
      <c r="B4" s="34" t="s">
        <v>21</v>
      </c>
      <c r="C4" s="31">
        <v>5.5</v>
      </c>
      <c r="D4" s="31">
        <v>5.5</v>
      </c>
      <c r="E4" s="32">
        <v>4.5</v>
      </c>
      <c r="F4" s="32">
        <v>4.5</v>
      </c>
      <c r="G4" s="31">
        <v>5.5</v>
      </c>
      <c r="H4" s="31">
        <v>5.5</v>
      </c>
      <c r="I4" s="31">
        <v>5.5</v>
      </c>
      <c r="J4" s="31">
        <v>5.5</v>
      </c>
      <c r="K4" s="31">
        <v>5.5</v>
      </c>
      <c r="L4" s="31">
        <v>5.5</v>
      </c>
      <c r="M4" s="31">
        <v>5.5</v>
      </c>
      <c r="N4" s="33">
        <v>7</v>
      </c>
      <c r="O4" s="31">
        <v>5.5</v>
      </c>
      <c r="P4" s="33">
        <v>7</v>
      </c>
      <c r="Q4" s="31">
        <v>5.5</v>
      </c>
      <c r="R4" s="33">
        <v>7</v>
      </c>
      <c r="S4" s="33">
        <v>7</v>
      </c>
      <c r="T4" s="31">
        <v>5.5</v>
      </c>
      <c r="U4" s="33">
        <v>7</v>
      </c>
      <c r="V4" s="33">
        <v>7</v>
      </c>
      <c r="W4" s="33">
        <v>7</v>
      </c>
    </row>
    <row r="5" spans="2:23" ht="50.1" customHeight="1" thickTop="1" thickBot="1">
      <c r="B5" s="34" t="s">
        <v>22</v>
      </c>
      <c r="C5" s="29">
        <v>2.5</v>
      </c>
      <c r="D5" s="29">
        <v>2.5</v>
      </c>
      <c r="E5" s="29">
        <v>2.5</v>
      </c>
      <c r="F5" s="29">
        <v>2.5</v>
      </c>
      <c r="G5" s="30">
        <v>3.5</v>
      </c>
      <c r="H5" s="29">
        <v>2.5</v>
      </c>
      <c r="I5" s="29">
        <v>2.5</v>
      </c>
      <c r="J5" s="30">
        <v>3.5</v>
      </c>
      <c r="K5" s="30">
        <v>3.5</v>
      </c>
      <c r="L5" s="30">
        <v>3.5</v>
      </c>
      <c r="M5" s="30">
        <v>3.5</v>
      </c>
      <c r="N5" s="30">
        <v>3.5</v>
      </c>
      <c r="O5" s="30">
        <v>3.5</v>
      </c>
      <c r="P5" s="30">
        <v>3.5</v>
      </c>
      <c r="Q5" s="30">
        <v>3.5</v>
      </c>
      <c r="R5" s="30">
        <v>3.5</v>
      </c>
      <c r="S5" s="32">
        <v>4.5</v>
      </c>
      <c r="T5" s="32">
        <v>4.5</v>
      </c>
      <c r="U5" s="30">
        <v>3.5</v>
      </c>
      <c r="V5" s="32">
        <v>4.5</v>
      </c>
      <c r="W5" s="30">
        <v>3.5</v>
      </c>
    </row>
    <row r="6" spans="2:23" ht="50.1" customHeight="1" thickTop="1" thickBot="1">
      <c r="B6" s="34" t="s">
        <v>23</v>
      </c>
      <c r="C6" s="26">
        <v>0</v>
      </c>
      <c r="D6" s="26">
        <v>0</v>
      </c>
      <c r="E6" s="26">
        <v>0</v>
      </c>
      <c r="F6" s="28">
        <v>1.5</v>
      </c>
      <c r="G6" s="28">
        <v>1.5</v>
      </c>
      <c r="H6" s="28">
        <v>1.5</v>
      </c>
      <c r="I6" s="28">
        <v>1.5</v>
      </c>
      <c r="J6" s="28">
        <v>1.5</v>
      </c>
      <c r="K6" s="28">
        <v>1.5</v>
      </c>
      <c r="L6" s="28">
        <v>1.5</v>
      </c>
      <c r="M6" s="28">
        <v>1.5</v>
      </c>
      <c r="N6" s="27">
        <v>0</v>
      </c>
      <c r="O6" s="28">
        <v>1.5</v>
      </c>
      <c r="P6" s="28">
        <v>1.5</v>
      </c>
      <c r="Q6" s="28">
        <v>1.5</v>
      </c>
      <c r="R6" s="28">
        <v>1.5</v>
      </c>
      <c r="S6" s="28">
        <v>1.5</v>
      </c>
      <c r="T6" s="28">
        <v>1.5</v>
      </c>
      <c r="U6" s="28">
        <v>1.5</v>
      </c>
      <c r="V6" s="28">
        <v>1.5</v>
      </c>
      <c r="W6" s="28">
        <v>1.5</v>
      </c>
    </row>
    <row r="7" spans="2:23" ht="50.1" customHeight="1" thickTop="1" thickBot="1">
      <c r="B7" s="34" t="s">
        <v>24</v>
      </c>
      <c r="C7" s="26">
        <v>0</v>
      </c>
      <c r="D7" s="26">
        <v>0</v>
      </c>
      <c r="E7" s="26">
        <v>0</v>
      </c>
      <c r="F7" s="28">
        <v>1.5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8">
        <v>1.5</v>
      </c>
      <c r="N7" s="27">
        <v>0</v>
      </c>
      <c r="O7" s="27">
        <v>0</v>
      </c>
      <c r="P7" s="27">
        <v>0</v>
      </c>
      <c r="Q7" s="27">
        <v>0</v>
      </c>
      <c r="R7" s="28">
        <v>1.5</v>
      </c>
      <c r="S7" s="28">
        <v>1.5</v>
      </c>
      <c r="T7" s="28">
        <v>1.5</v>
      </c>
      <c r="U7" s="28">
        <v>1.5</v>
      </c>
      <c r="V7" s="28">
        <v>1.5</v>
      </c>
      <c r="W7" s="28">
        <v>1.5</v>
      </c>
    </row>
    <row r="8" spans="2:23" ht="15.75" thickTop="1">
      <c r="C8" s="25">
        <v>1999</v>
      </c>
      <c r="D8" s="25"/>
      <c r="I8" s="25">
        <v>2005</v>
      </c>
      <c r="J8" s="25"/>
      <c r="N8" s="1" t="s">
        <v>25</v>
      </c>
      <c r="S8" s="1" t="s">
        <v>26</v>
      </c>
      <c r="W8" s="1" t="s">
        <v>27</v>
      </c>
    </row>
  </sheetData>
  <mergeCells count="2">
    <mergeCell ref="C8:D8"/>
    <mergeCell ref="I8:J8"/>
  </mergeCells>
  <conditionalFormatting sqref="C3:W7">
    <cfRule type="cellIs" dxfId="0" priority="7" operator="greaterThan">
      <formula>6</formula>
    </cfRule>
    <cfRule type="cellIs" dxfId="1" priority="6" operator="between">
      <formula>5</formula>
      <formula>6</formula>
    </cfRule>
    <cfRule type="cellIs" dxfId="2" priority="5" operator="between">
      <formula>4</formula>
      <formula>5</formula>
    </cfRule>
    <cfRule type="cellIs" dxfId="3" priority="4" operator="between">
      <formula>3</formula>
      <formula>4</formula>
    </cfRule>
    <cfRule type="cellIs" dxfId="4" priority="3" operator="between">
      <formula>2</formula>
      <formula>3</formula>
    </cfRule>
    <cfRule type="cellIs" dxfId="5" priority="2" operator="between">
      <formula>1</formula>
      <formula>2</formula>
    </cfRule>
    <cfRule type="cellIs" dxfId="6" priority="1" operator="less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Cover Page</vt:lpstr>
      <vt:lpstr>Chart 1</vt:lpstr>
      <vt:lpstr>Chart 2</vt:lpstr>
      <vt:lpstr>Chart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Пользователь Windows</cp:lastModifiedBy>
  <dcterms:created xsi:type="dcterms:W3CDTF">2025-01-24T08:17:08Z</dcterms:created>
  <dcterms:modified xsi:type="dcterms:W3CDTF">2025-04-03T16:41:07Z</dcterms:modified>
</cp:coreProperties>
</file>